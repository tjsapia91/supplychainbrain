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netorg3386563-my.sharepoint.com/personal/tom_michaeltoddbeauty_com/Documents/Desktop/"/>
    </mc:Choice>
  </mc:AlternateContent>
  <xr:revisionPtr revIDLastSave="13" documentId="8_{F2E6E171-B1AB-4A34-85FB-CA7ABFBB6868}" xr6:coauthVersionLast="47" xr6:coauthVersionMax="47" xr10:uidLastSave="{773D4BB4-1D68-46D8-A056-9BD8E5C58BB1}"/>
  <bookViews>
    <workbookView minimized="1" xWindow="5805" yWindow="750" windowWidth="19755" windowHeight="11295" firstSheet="2" activeTab="4" xr2:uid="{00000000-000D-0000-FFFF-FFFF00000000}"/>
  </bookViews>
  <sheets>
    <sheet name="PPO Template" sheetId="1" r:id="rId1"/>
    <sheet name="SETUP INSTRUCTIONS" sheetId="2" r:id="rId2"/>
    <sheet name="PPO Generator" sheetId="3" r:id="rId3"/>
    <sheet name="PPO Log" sheetId="4" r:id="rId4"/>
    <sheet name="Item Database" sheetId="5" r:id="rId5"/>
    <sheet name="Seller-Exporter" sheetId="6" r:id="rId6"/>
    <sheet name="Bill To" sheetId="7" r:id="rId7"/>
    <sheet name="PPO-3147" sheetId="9" r:id="rId8"/>
    <sheet name="PPO-3148" sheetId="10" r:id="rId9"/>
  </sheets>
  <definedNames>
    <definedName name="_xlnm.Print_Area" localSheetId="0">'PPO Template'!$B$3:$Q$68</definedName>
    <definedName name="_xlnm.Print_Area" localSheetId="7">'PPO-3147'!$B$3:$Q$68</definedName>
    <definedName name="_xlnm.Print_Area" localSheetId="8">'PPO-3148'!$B$3:$Q$68</definedName>
    <definedName name="SellerList">"'Seller-Exporter'!$A$2:$A$20"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49" i="10" l="1"/>
  <c r="P49" i="1"/>
  <c r="O49" i="1"/>
  <c r="N49" i="1"/>
  <c r="O35" i="10"/>
  <c r="P35" i="10" s="1"/>
  <c r="N23" i="10" s="1"/>
  <c r="O35" i="9"/>
  <c r="P35" i="9" s="1"/>
  <c r="N23" i="9" s="1"/>
  <c r="F44" i="3"/>
  <c r="E44" i="3"/>
  <c r="F43" i="3"/>
  <c r="E43" i="3"/>
  <c r="F42" i="3"/>
  <c r="E42" i="3"/>
  <c r="F41" i="3"/>
  <c r="E41" i="3"/>
  <c r="F40" i="3"/>
  <c r="E40" i="3"/>
  <c r="F39" i="3"/>
  <c r="E39" i="3"/>
  <c r="F38" i="3"/>
  <c r="E38" i="3"/>
  <c r="F37" i="3"/>
  <c r="E37" i="3"/>
  <c r="F36" i="3"/>
  <c r="E36" i="3"/>
  <c r="F35" i="3"/>
  <c r="E35" i="3"/>
  <c r="E34" i="3"/>
  <c r="F34" i="3" s="1"/>
  <c r="E33" i="3"/>
  <c r="F33" i="3" s="1"/>
  <c r="E32" i="3"/>
  <c r="F32" i="3" s="1"/>
  <c r="E31" i="3"/>
  <c r="F31" i="3" s="1"/>
  <c r="H26" i="3"/>
  <c r="G26" i="3"/>
  <c r="F26" i="3"/>
  <c r="E26" i="3"/>
  <c r="D26" i="3"/>
  <c r="C26" i="3"/>
  <c r="A25" i="3"/>
  <c r="P43" i="1"/>
  <c r="P42" i="1"/>
  <c r="P41" i="1"/>
  <c r="P40" i="1"/>
  <c r="O40" i="1"/>
  <c r="P39" i="1"/>
  <c r="O39" i="1"/>
  <c r="P38" i="1"/>
  <c r="O38" i="1"/>
  <c r="P37" i="1"/>
  <c r="O37" i="1"/>
  <c r="P36" i="1"/>
  <c r="O36" i="1"/>
  <c r="P35" i="1"/>
  <c r="O35" i="1"/>
  <c r="N24" i="1"/>
  <c r="N23" i="1"/>
  <c r="O7" i="1"/>
  <c r="O49" i="10" l="1"/>
  <c r="P49" i="10"/>
  <c r="N24" i="10"/>
  <c r="N2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Tom Sapia</author>
  </authors>
  <commentList>
    <comment ref="B4" authorId="0" shapeId="0" xr:uid="{00000000-0006-0000-0200-000001000000}">
      <text>
        <r>
          <rPr>
            <sz val="11"/>
            <color theme="1"/>
            <rFont val="Aptos Narrow"/>
            <family val="2"/>
            <scheme val="minor"/>
          </rPr>
          <t>Tom Sapia:
Auto-pulls next PPO # from PPO Log tab. Do not edit manually.</t>
        </r>
      </text>
    </comment>
    <comment ref="B6" authorId="0" shapeId="0" xr:uid="{00000000-0006-0000-0200-000002000000}">
      <text>
        <r>
          <rPr>
            <sz val="11"/>
            <color theme="1"/>
            <rFont val="Aptos Narrow"/>
            <family val="2"/>
            <scheme val="minor"/>
          </rPr>
          <t>Select from dropdown. Options: Micahel Todd Beauty, Spa Sciences, NasaFresh MD</t>
        </r>
      </text>
    </comment>
    <comment ref="B12" authorId="0" shapeId="0" xr:uid="{00000000-0006-0000-0200-000003000000}">
      <text>
        <r>
          <rPr>
            <sz val="11"/>
            <color theme="1"/>
            <rFont val="Aptos Narrow"/>
            <family val="2"/>
            <scheme val="minor"/>
          </rPr>
          <t>Tom Sapia:
Select from dropdown or type custom seller name</t>
        </r>
      </text>
    </comment>
    <comment ref="B19" authorId="0" shapeId="0" xr:uid="{00000000-0006-0000-0200-000004000000}">
      <text>
        <r>
          <rPr>
            <sz val="11"/>
            <color theme="1"/>
            <rFont val="Aptos Narrow"/>
            <family val="2"/>
            <scheme val="minor"/>
          </rPr>
          <t>Tom Sapia:
Enter requested ship date</t>
        </r>
      </text>
    </comment>
    <comment ref="B20" authorId="0" shapeId="0" xr:uid="{00000000-0006-0000-0200-000005000000}">
      <text>
        <r>
          <rPr>
            <sz val="11"/>
            <color theme="1"/>
            <rFont val="Aptos Narrow"/>
            <family val="2"/>
            <scheme val="minor"/>
          </rPr>
          <t>Tom Sapia:
e.g. Net 30, 50% deposit</t>
        </r>
      </text>
    </comment>
    <comment ref="A26" authorId="0" shapeId="0" xr:uid="{00000000-0006-0000-0200-000006000000}">
      <text>
        <r>
          <rPr>
            <sz val="11"/>
            <color theme="1"/>
            <rFont val="Aptos Narrow"/>
            <family val="2"/>
            <scheme val="minor"/>
          </rPr>
          <t>Tom Sapia:
Enter item number. Description auto-fills from Item Database.</t>
        </r>
      </text>
    </comment>
    <comment ref="B31" authorId="0" shapeId="0" xr:uid="{00000000-0006-0000-0200-000007000000}">
      <text>
        <r>
          <rPr>
            <sz val="11"/>
            <color theme="1"/>
            <rFont val="Aptos Narrow"/>
            <family val="2"/>
            <scheme val="minor"/>
          </rPr>
          <t>Tom Sapia:
Enter item number. Description auto-fills from Item Database.</t>
        </r>
      </text>
    </comment>
    <comment ref="B46" authorId="0" shapeId="0" xr:uid="{00000000-0006-0000-0200-000008000000}">
      <text>
        <r>
          <rPr>
            <sz val="11"/>
            <color theme="1"/>
            <rFont val="Aptos Narrow"/>
            <family val="2"/>
            <scheme val="minor"/>
          </rPr>
          <t>Tom Sapia:
Any special notes, terms, or conditions for this PPO</t>
        </r>
      </text>
    </comment>
    <comment ref="B59" authorId="0" shapeId="0" xr:uid="{00000000-0006-0000-0200-000009000000}">
      <text>
        <r>
          <rPr>
            <sz val="11"/>
            <color theme="1"/>
            <rFont val="Aptos Narrow"/>
            <family val="2"/>
            <scheme val="minor"/>
          </rPr>
          <t>Tom Sapia:
Type a PPO number here, then run macro SearchPPO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Tom Sapia</author>
  </authors>
  <commentList>
    <comment ref="B3" authorId="0" shapeId="0" xr:uid="{00000000-0006-0000-0300-000001000000}">
      <text>
        <r>
          <rPr>
            <sz val="11"/>
            <color theme="1"/>
            <rFont val="Aptos Narrow"/>
            <family val="2"/>
            <scheme val="minor"/>
          </rPr>
          <t>Tom Sapia:
This cell tracks the next PPO number to use. The VBA macro reads and increments this automatically.</t>
        </r>
      </text>
    </comment>
  </commentList>
</comments>
</file>

<file path=xl/sharedStrings.xml><?xml version="1.0" encoding="utf-8"?>
<sst xmlns="http://schemas.openxmlformats.org/spreadsheetml/2006/main" count="4098" uniqueCount="1102">
  <si>
    <t>PPO GENERATOR</t>
  </si>
  <si>
    <t>Fill in the fields below, then click  [GENERATE PPO]  to create a formatted PPO and save to the log.</t>
  </si>
  <si>
    <t>── HEADER INFO ──────────────────────────────────────────────────────────────────────────────</t>
  </si>
  <si>
    <t>PPO Number:</t>
  </si>
  <si>
    <t>Date:</t>
  </si>
  <si>
    <t>── BILL TO ──────────────────────────────────────────────────────────────────────────────────</t>
  </si>
  <si>
    <t>Bill To Branch:</t>
  </si>
  <si>
    <t>NasaFresh MD</t>
  </si>
  <si>
    <t>Address:</t>
  </si>
  <si>
    <t>Phone:</t>
  </si>
  <si>
    <t>Contact:</t>
  </si>
  <si>
    <t>── SELLER / EXPORTER ────────────────────────────────────────────────────────────────────────</t>
  </si>
  <si>
    <t>Seller Name:</t>
  </si>
  <si>
    <t>Ningbo Dream Big International Trade Co., Ltd</t>
  </si>
  <si>
    <t>City:</t>
  </si>
  <si>
    <t>Postal Code:</t>
  </si>
  <si>
    <t>── SHIPMENT INFO ────────────────────────────────────────────────────────────────────────────</t>
  </si>
  <si>
    <t>Mode of Transport:</t>
  </si>
  <si>
    <t>Container</t>
  </si>
  <si>
    <t>Requested Ship Date:</t>
  </si>
  <si>
    <t>Est. Ship Date:</t>
  </si>
  <si>
    <t>Payment Terms:</t>
  </si>
  <si>
    <t>Incoterms:</t>
  </si>
  <si>
    <t>Port of Loading:</t>
  </si>
  <si>
    <t>Port of Discharge:</t>
  </si>
  <si>
    <t>Country of Origin:</t>
  </si>
  <si>
    <t>── ITEM SEARCH HELPER ─────────────────────────────────────────────────────────────────────────────────────────────────────────────────────</t>
  </si>
  <si>
    <t>Search By:</t>
  </si>
  <si>
    <t>Description"</t>
  </si>
  <si>
    <t>Search Value:</t>
  </si>
  <si>
    <t>← Type here, then check results below</t>
  </si>
  <si>
    <t>DESCRIPTION</t>
  </si>
  <si>
    <t>IN STOCK</t>
  </si>
  <si>
    <t>WAREHOUSE</t>
  </si>
  <si>
    <t>ABC CLASS</t>
  </si>
  <si>
    <t>BRANCH</t>
  </si>
  <si>
    <t>MASTER CTN QTY</t>
  </si>
  <si>
    <t>CARTON VOL (IN³)</t>
  </si>
  <si>
    <t>^ Copy Item # into Line Items below  |  Change 'Search By' dropdown to switch between Item # and Description search</t>
  </si>
  <si>
    <t>── LINE ITEMS ──────────────────────────────────────────────────────────────────────────────────────────────────────────────────────────────</t>
  </si>
  <si>
    <t>#</t>
  </si>
  <si>
    <t>MT/SS ITEM #</t>
  </si>
  <si>
    <t>QTY</t>
  </si>
  <si>
    <t>CTNS (auto)</t>
  </si>
  <si>
    <t>CBM (auto)</t>
  </si>
  <si>
    <t>NOTES / SPEC</t>
  </si>
  <si>
    <t>DESTINATION</t>
  </si>
  <si>
    <t>Shopify</t>
  </si>
  <si>
    <t>-- SPECIAL NOTES &amp; WIRE INFO --</t>
  </si>
  <si>
    <t>Special Notes / Terms:</t>
  </si>
  <si>
    <t>Factory Legal Name:</t>
  </si>
  <si>
    <t>Factory Address:</t>
  </si>
  <si>
    <t>Bank Account #:</t>
  </si>
  <si>
    <t>Bank Name:</t>
  </si>
  <si>
    <t>Bank Routing #:</t>
  </si>
  <si>
    <t>Bank Address:</t>
  </si>
  <si>
    <t>Bank Swift Code:</t>
  </si>
  <si>
    <t>SEARCH EXISTING PPO:</t>
  </si>
  <si>
    <t>Enter PPO # to load:</t>
  </si>
  <si>
    <t>Status:</t>
  </si>
  <si>
    <t>Loaded PPO #:</t>
  </si>
  <si>
    <t>BILL TO:</t>
  </si>
  <si>
    <t>Planned Purchase Order</t>
  </si>
  <si>
    <t>Micahel Todd Beauty</t>
  </si>
  <si>
    <t>584 University Blvd., Suite 600</t>
  </si>
  <si>
    <t>Page:</t>
  </si>
  <si>
    <t>1 of 1</t>
  </si>
  <si>
    <t>Port St. Lucie, FL 34986</t>
  </si>
  <si>
    <t>954-415-3005</t>
  </si>
  <si>
    <t>PPO #:</t>
  </si>
  <si>
    <t xml:space="preserve">Contact: </t>
  </si>
  <si>
    <t>supplychain@michaeltoddbeauty.com</t>
  </si>
  <si>
    <t>Vendor PI#</t>
  </si>
  <si>
    <t>SELLER/EXPORTER:</t>
  </si>
  <si>
    <t>SHIP TO;</t>
  </si>
  <si>
    <t>Room B067, building 003 (4-1) (4-2), 1083 Zhongshan East Road</t>
  </si>
  <si>
    <t>Yinzhou District, Ningbo</t>
  </si>
  <si>
    <t>Telephone Number: 86-13486073743</t>
  </si>
  <si>
    <t>Harry Zhan - harryzhan@nb-zeyu.com</t>
  </si>
  <si>
    <t>SHIPMENT INFORMATION:</t>
  </si>
  <si>
    <t xml:space="preserve">         Requested Ship Date:</t>
  </si>
  <si>
    <t>Lead time :</t>
  </si>
  <si>
    <t>Inco Terms:</t>
  </si>
  <si>
    <t>DDP</t>
  </si>
  <si>
    <t>Total CBM:</t>
  </si>
  <si>
    <t>Mode of Transportation:</t>
  </si>
  <si>
    <t>Total cartons:</t>
  </si>
  <si>
    <t>Est. Net Total Weight:</t>
  </si>
  <si>
    <t>Currency:</t>
  </si>
  <si>
    <t>USD</t>
  </si>
  <si>
    <t>ADDITIONAL INFORMATION:</t>
  </si>
  <si>
    <t>Ningbo</t>
  </si>
  <si>
    <t>TBD</t>
  </si>
  <si>
    <t>China</t>
  </si>
  <si>
    <t>AWB/BL #:</t>
  </si>
  <si>
    <t>DESCRIPTION #</t>
  </si>
  <si>
    <t>TOTAL CTNS</t>
  </si>
  <si>
    <t>CBM</t>
  </si>
  <si>
    <t>Destination</t>
  </si>
  <si>
    <t>SONICSMOOTH PRO+ with lights LAVENDER DEVICE (2024)</t>
  </si>
  <si>
    <t>Amazon</t>
  </si>
  <si>
    <t>Sonicsmooth - Lavender - New</t>
  </si>
  <si>
    <t>SONICSMOOTH - CLEAR REPLACEMENT KIT (8 BLADES)</t>
  </si>
  <si>
    <t>SONICSMOOTH PRO+ with lights  PINK DEVICE (2024)</t>
  </si>
  <si>
    <t>SONICSMOOTH PRO+ with lights  WHITE DEVICE (2024)</t>
  </si>
  <si>
    <t>Sonicsmooth -White - New</t>
  </si>
  <si>
    <t>Soniclear Brush - Face - Plum</t>
  </si>
  <si>
    <t>Soniclear Brush - Face - White</t>
  </si>
  <si>
    <t>Soniclear Brush - Body - Carbon Fibre Replacement</t>
  </si>
  <si>
    <t>SPECIAL NOTES, TERMS OF SALE</t>
  </si>
  <si>
    <t>Subtotal:</t>
  </si>
  <si>
    <t>Factory Wire Information</t>
  </si>
  <si>
    <t>Deposit:</t>
  </si>
  <si>
    <t>Balance Due:</t>
  </si>
  <si>
    <t>Bank Routing Number:</t>
  </si>
  <si>
    <t>Total</t>
  </si>
  <si>
    <t>$</t>
  </si>
  <si>
    <t xml:space="preserve">I declare that the information mentioned above is true and correct to the best of my knowledge.                           </t>
  </si>
  <si>
    <t>Signature</t>
  </si>
  <si>
    <t>Should you have any question concerning this order, please contact supplychain@michaeltoddbeauty.com</t>
  </si>
  <si>
    <t>548 NW University Blvd., Suite 600, Port St. Lucie, FL 34986</t>
  </si>
  <si>
    <t>Telephone 1-772-446-0149 * Web Address:  www.michaeltoddbeauty.com</t>
  </si>
  <si>
    <t>PPO GENERATOR - SETUP INSTRUCTIONS</t>
  </si>
  <si>
    <t>Complete these steps ONCE to activate all buttons and automation features.</t>
  </si>
  <si>
    <t>STEP 1 - SAVE AS MACRO-ENABLED WORKBOOK (.xlsm)</t>
  </si>
  <si>
    <t>1. Press Ctrl + Shift + S  (or File &gt; Save As)</t>
  </si>
  <si>
    <t>2. Change the file type to:  Excel Macro-Enabled Workbook (*.xlsm)</t>
  </si>
  <si>
    <t>3. Click Save.  This is required for macros to work.</t>
  </si>
  <si>
    <t>STEP 2 - OPEN THE VBA EDITOR AND PASTE THE CODE</t>
  </si>
  <si>
    <t>1. Press  Alt + F11  to open the Visual Basic Editor</t>
  </si>
  <si>
    <t>2. In the left panel (Project Explorer), find your file name (e.g. Book1.xlsm)</t>
  </si>
  <si>
    <t>3. Right-click on it &gt; Insert &gt; Module</t>
  </si>
  <si>
    <t>4. A blank code window opens on the right.</t>
  </si>
  <si>
    <t>5. COPY ALL the code from cell B20 below (it is the full VBA code)</t>
  </si>
  <si>
    <t>6. Paste it into the blank module window</t>
  </si>
  <si>
    <t>7. Press Ctrl + S to save. If asked, save as .xlsm format.</t>
  </si>
  <si>
    <t>8. Close the VBA Editor (Alt + F4)</t>
  </si>
  <si>
    <t>STEP 3 - ADD DEVELOPER TAB (needed to create buttons)</t>
  </si>
  <si>
    <t>1. File &gt; Options &gt; Customize Ribbon</t>
  </si>
  <si>
    <t>2. On the right side, check the box next to 'Developer'</t>
  </si>
  <si>
    <t>3. Click OK - you'll now see the Developer tab in the ribbon</t>
  </si>
  <si>
    <t>STEP 4 - CREATE MACRO BUTTONS (optional but recommended)</t>
  </si>
  <si>
    <t>1. Go to the PPO Generator tab</t>
  </si>
  <si>
    <t>2. Click Developer &gt; Insert &gt; Button (Form Control) - the first icon under Form Controls</t>
  </si>
  <si>
    <t>3. Draw a button shape OVER the colored cell that says 'GENERATE PPO' (row 56)</t>
  </si>
  <si>
    <t>4. When the Assign Macro window appears, select 'GeneratePPO' and click OK</t>
  </si>
  <si>
    <t>5. Right-click the button &gt; Edit Text &gt; type 'GENERATE PPO'</t>
  </si>
  <si>
    <t>6. Repeat for each button: SEARCH/LOAD PPO &gt; SearchPPO | CLEAR FORM &gt; ClearForm | PRINT PPO &gt; PrintPPO | SAVE AS PDF &gt; SavePPOasPDF</t>
  </si>
  <si>
    <t>STEP 5 - ENABLE MACROS WHEN OPENING</t>
  </si>
  <si>
    <t>When you open the file, Excel may show a yellow security bar: 'SECURITY WARNING - Macros have been disabled'</t>
  </si>
  <si>
    <t>Click 'Enable Content' to allow macros to run. You only need to do this once per file location.</t>
  </si>
  <si>
    <t>MACRO NAMES REFERENCE</t>
  </si>
  <si>
    <t>GeneratePPO</t>
  </si>
  <si>
    <t>Creates formatted PPO sheet, AUTO-SAVES PDF to same folder as workbook, logs full record + clickable PDF link in PPO Log</t>
  </si>
  <si>
    <t>SavePPOasPDF</t>
  </si>
  <si>
    <t>Manual PDF save with Save-As dialog. Also updates the PDF link in PPO Log for that PPO number.</t>
  </si>
  <si>
    <t>PrintPPO</t>
  </si>
  <si>
    <t>Shows print preview of the current PPO, then prints.</t>
  </si>
  <si>
    <t>SearchPPO</t>
  </si>
  <si>
    <t>Loads an existing PPO from the log back into the Generator form for editing.</t>
  </si>
  <si>
    <t>ClearForm</t>
  </si>
  <si>
    <t>Resets all input fields in the PPO Generator to defaults.</t>
  </si>
  <si>
    <t>GoToPPO</t>
  </si>
  <si>
    <t>Quick navigation - jumps to any PPO sheet by number.</t>
  </si>
  <si>
    <t>NOTES &amp; TIPS</t>
  </si>
  <si>
    <t>- Blue cells are INPUT cells (type into these)</t>
  </si>
  <si>
    <t>- Green cells are AUTO-FILLED (from lookups - do not type in these)</t>
  </si>
  <si>
    <t>- Yellow cells are SEARCH fields</t>
  </si>
  <si>
    <t>- PPO# automatically increments. Current next PPO# is stored in PPO Log tab, cell B3.</t>
  </si>
  <si>
    <t>- To search for an item: type the item number or a word from the description in cell B24 of PPO Generator.</t>
  </si>
  <si>
    <t>- To edit an existing PPO: enter the PPO# in cell B59 then run SearchPPO macro.</t>
  </si>
  <si>
    <t>- All generated PPOs are saved as separate sheets named PPO-3147, PPO-3148, etc.</t>
  </si>
  <si>
    <t>- The PPO Log tab keeps a searchable record of all PPOs with key details.</t>
  </si>
  <si>
    <t>IMPORTANT: PDF AUTO-SAVE</t>
  </si>
  <si>
    <t>GeneratePPO saves the PDF automatically to the SAME FOLDER as this workbook. Make sure the workbook is saved to a permanent location (not a temp folder) before generating PPOs. If the auto-save fails, the PDF link in the log will show red text and you can use the SAVE AS PDF button manually.</t>
  </si>
  <si>
    <t>VBA CODE (v3 - FINAL) - Replace ALL previous code with this version</t>
  </si>
  <si>
    <t>Option Explicit
Const GEN_SHEET As String = "PPO Generator"
Const LOG_SHEET As String = "PPO Log"
Const TPL_SHEET As String = "PPO Template"
Sub GeneratePPO()
    Dim wb As Workbook
    Dim wsGen As Worksheet, wsLog As Worksheet, wsTpl As Worksheet, wsPPO As Worksheet
    Dim ppoNum As Long, ppoSheetName As String, logRow As Long
    Dim i As Integer
    Dim itemNum As String, itemDesc As String, itemQty As String
    Dim itemCtns As String, itemCBM As String, itemNotes As String, itemDest As String
    Dim itemsSummary As String
    Dim totalCtns As Double, totalCBM As Double
    Dim pdfPath As String, pdfFolder As String
    Dim isEdit As Boolean, existingLogRow As Long
    Set wb = ThisWorkbook
    Set wsGen = wb.Sheets(GEN_SHEET)
    Set wsLog = wb.Sheets(LOG_SHEET)
    Set wsTpl = wb.Sheets(TPL_SHEET)
    If Trim(CStr(wsGen.Range("B31").Value)) = "" Then
        MsgBox "Please enter at least one item.", vbExclamation, "No Items"
        Exit Sub
    End If
    ppoNum = CLng(wsLog.Range("B3").Value)
    ppoSheetName = "PPO-" &amp; ppoNum
    isEdit = False: existingLogRow = 0
    Dim findCell As Range
    Set findCell = wsLog.Range("A6:A5000").Find(What:=ppoNum, LookIn:=xlValues, LookAt:=xlWhole)
    If Not findCell Is Nothing Then
        isEdit = True
        existingLogRow = findCell.Row
    End If
    Dim shExists As Boolean: shExists = False
    Dim sh As Worksheet
    For Each sh In wb.Sheets
        If sh.Name = ppoSheetName Then shExists = True
    Next sh
    If isEdit Or shExists Then
        If MsgBox("PPO " &amp; ppoNum &amp; " exists. Overwrite?", vbYesNo + vbQuestion) = vbNo Then Exit Sub
        If shExists Then
            Application.DisplayAlerts = False
            wb.Sheets(ppoSheetName).Delete
            Application.DisplayAlerts = True
        End If
    End If
    wsTpl.Copy After:=wb.Sheets(wb.Sheets.Count)
    Set wsPPO = wb.Sheets(wb.Sheets.Count)
    wsPPO.Name = ppoSheetName
    With wsPPO
        ' PPO # and Date in template positions (cols N-O)
        .Range("O9").Value = ppoNum
        .Range("O9").NumberFormat = "0"
        .Range("O7").Value = wsGen.Range("E4").Value
        .Range("O7").NumberFormat = "mm/dd/yyyy"
        If isEdit Then
            .Range("N10").Value = "REVISED:"
            .Range("O10").Value = Now()
            .Range("O10").NumberFormat = "mm/dd/yyyy hh:mm"
            .Range("N10").Font.Color = RGB(200, 0, 0)
            .Range("O10").Font.Color = RGB(200, 0, 0)
        End If
        ' Bill To
        .Range("B5").Value = wsGen.Range("B6").Value
        .Range("B6").Value = wsGen.Range("B7").Value
        .Range("B7").Value = ""
        .Range("B8").Value = wsGen.Range("B9").Value
        .Range("C10").Value = wsGen.Range("B10").Value
        ' Seller / Exporter
        .Range("B13").Value = wsGen.Range("B12").Value
        .Range("B14").Value = wsGen.Range("B13").Value
        .Range("B15").Value = wsGen.Range("B14").Value
        .Range("B16").Value = wsGen.Range("B15").Value
        .Range("B17").Value = wsGen.Range("B16").Value
        .Range("C18").Value = wsGen.Range("B17").Value
        ' Shipment Info
        Dim reqDate As Variant: reqDate = wsGen.Range("B19").Value
        Dim estDate As Variant: estDate = wsGen.Range("E19").Value
        If reqDate &lt;&gt; "" Then .Range("F21").Value = reqDate: .Range("F21").NumberFormat = "d-mmm-yy"
        If estDate &lt;&gt; "" Then .Range("F22").Value = estDate: .Range("F22").NumberFormat = "d-mmm-yy"
        .Range("F23").Value = wsGen.Range("B20").Value
        .Range("F24").Value = wsGen.Range("E18").Value
        .Range("N22").Value = wsGen.Range("E20").Value
        .Range("E30").Value = wsGen.Range("B21").Value
        .Range("L30").Value = wsGen.Range("E21").Value
        .Range("E32").Value = wsGen.Range("B22").Value
        ' Line Items: B=Item#, E=Desc, N=QTY, O=CTNS, P=CBM, Q=Dest
        .Range("B35:Q48").ClearContents
        Dim tplRow As Integer: tplRow = 35
        itemsSummary = ""
        totalCtns = 0: totalCBM = 0
        For i = 1 To 14
            Dim genRow As Integer: genRow = 30 + i
            itemNum = Trim(CStr(wsGen.Cells(genRow, 2).Value))
            If itemNum &lt;&gt; "" Then
                .Cells(tplRow, 2).Value = itemNum
                .Cells(tplRow, 2).NumberFormat = "@"
                itemDesc = Trim(CStr(wsGen.Cells(genRow, 3).Value))
                .Cells(tplRow, 5).Value = itemDesc
                itemQty = Trim(CStr(wsGen.Cells(genRow, 4).Value))
                If itemQty &lt;&gt; "" Then .Cells(tplRow, 14).Value = CDbl(itemQty)
                itemCtns = Trim(CStr(wsGen.Cells(genRow, 5).Value))
                If itemCtns &lt;&gt; "" And itemCtns &lt;&gt; ChrW(8212) Then
                    .Cells(tplRow, 15).Value = CDbl(itemCtns)
                    totalCtns = totalCtns + CDbl(itemCtns)
                End If
                itemCBM = Trim(CStr(wsGen.Cells(genRow, 6).Value))
                If itemCBM &lt;&gt; "" And itemCBM &lt;&gt; ChrW(8212) Then
                    .Cells(tplRow, 16).Value = CDbl(itemCBM)
                    totalCBM = totalCBM + CDbl(itemCBM)
                End If
                itemDest = Trim(CStr(wsGen.Cells(genRow, 8).Value))
                If itemDest &lt;&gt; "" Then .Cells(tplRow, 17).Value = itemDest
                itemNotes = Trim(CStr(wsGen.Cells(genRow, 7).Value))
                If itemNotes &lt;&gt; "" Then .Cells(tplRow, 7).Value = itemNotes
                itemsSummary = itemsSummary &amp; itemNum &amp; " | " &amp; Left(itemDesc, 25) &amp; " | QTY:" &amp; itemQty &amp; "; "
                tplRow = tplRow + 1
                If tplRow &gt; 48 Then Exit For
            End If
        Next i
        .Range("N49").Value = "=SUM(N35:N48)"
        .Range("O49").Value = totalCtns
        .Range("P49").Value = totalCBM
        .Range("P49").NumberFormat = "0.000"
        .Range("C50").Value = wsGen.Range("B46").Value
        .Range("C51").Value = wsGen.Range("B47").Value
        .Range("C52").Value = wsGen.Range("B48").Value
        .Range("C53").Value = wsGen.Range("B49").Value
        .Range("C54").Value = wsGen.Range("B50").Value
        .Range("C55").Value = wsGen.Range("B51").Value
        .Range("C56").Value = wsGen.Range("B52").Value
        .Range("C57").Value = wsGen.Range("B53").Value
        ' Page Setup - Landscape, full width
        With .PageSetup
            .Orientation = xlLandscape
            .PaperSize = xlPaperLetter
            .FitToPagesWide = 1
            .FitToPagesTall = 1
            .Zoom = False
            .TopMargin = Application.InchesToPoints(0.4)
            .BottomMargin = Application.InchesToPoints(0.4)
            .LeftMargin = Application.InchesToPoints(0.4)
            .RightMargin = Application.InchesToPoints(0.4)
            .CenterHorizontally = True
            .PrintArea = "A1:Q68"
        End With
    End With
    pdfFolder = wb.Path
    If pdfFolder = "" Then pdfFolder = Environ("USERPROFILE") &amp; "\Documents"
    Dim pdfSuffix As String
    If isEdit Then pdfSuffix = "_Rev" &amp; Format(Now(), "YYYYMMDD-HHNN") Else pdfSuffix = "_" &amp; Format(Now(), "YYYY-MM-DD")
    pdfPath = pdfFolder &amp; "\" &amp; ppoSheetName &amp; pdfSuffix &amp; ".pdf"
    On Error Resume Next
    wsPPO.ExportAsFixedFormat Type:=xlTypePDF, Filename:=pdfPath, Quality:=xlQualityStandard, IncludeDocProperties:=True, IgnorePrintAreas:=False, OpenAfterPublish:=False
    Dim pdfErr As Long: pdfErr = Err.Number
    On Error GoTo 0
    If isEdit Then
        logRow = existingLogRow
    Else
        logRow = wsLog.Cells(wsLog.Rows.Count, "A").End(xlUp).Row + 1
        If logRow &lt; 6 Then logRow = 6
    End If
    wsLog.Cells(logRow, 3).Value = wsGen.Range("B6").Value
    wsLog.Cells(logRow, 4).Value = wsGen.Range("B12").Value
    wsLog.Cells(logRow, 5).Value = wsGen.Range("B19").Value
    wsLog.Cells(logRow, 7).Value = wsGen.Range("B20").Value
    wsLog.Cells(logRow, 8).Value = wsGen.Range("E18").Value
    wsLog.Cells(logRow, 9).Value = wsGen.Range("B21").Value
    wsLog.Cells(logRow, 10).Value = wsGen.Range("E21").Value
    wsLog.Cells(logRow, 11).Value = wsGen.Range("B22").Value
    wsLog.Cells(logRow, 12).Value = Left(itemsSummary, 500)
    wsLog.Cells(logRow, 13).Value = wsGen.Range("B46").Value
    wsLog.Cells(logRow, 16).Value = wsGen.Range("E20").Value
    wsLog.Cells(logRow, 17).Value = totalCtns
    wsLog.Cells(logRow, 18).Value = totalCBM
    wsLog.Cells(logRow, 18).NumberFormat = "0.000"
    If isEdit Then
        wsLog.Cells(logRow, 14).Value = "Edited"
        wsLog.Cells(logRow, 14).Font.Bold = True
        Dim prevHistory As String: prevHistory = Trim(CStr(wsLog.Cells(logRow, 20).Value))
        Dim editNote As String: editNote = Format(Now(), "mm/dd/yyyy hh:mm") &amp; " - Edited"
        If prevHistory = "" Then wsLog.Cells(logRow, 20).Value = editNote Else wsLog.Cells(logRow, 20).Value = prevHistory &amp; vbLf &amp; editNote
    Else
        wsLog.Cells(logRow, 1).Value = ppoNum
        wsLog.Cells(logRow, 2).Value = Now()
        wsLog.Cells(logRow, 2).NumberFormat = "mm/dd/yyyy hh:mm"
        wsLog.Cells(logRow, 14).Value = "Generated"
        wsLog.Cells(logRow, 14).Font.Bold = True
        wsLog.Hyperlinks.Add Anchor:=wsLog.Cells(logRow, 1), Address:="", SubAddress:="'" &amp; ppoSheetName &amp; "'!A1", TextToDisplay:=CStr(ppoNum)
    End If
    If pdfErr = 0 Then
        Dim hLink As Hyperlink
        For Each hLink In wsLog.Hyperlinks
            If hLink.Parent.Address = wsLog.Cells(logRow, 19).Address Then hLink.Delete: Exit For
        Next hLink
        wsLog.Hyperlinks.Add Anchor:=wsLog.Cells(logRow, 19), Address:=pdfPath, TextToDisplay:="Open PDF - " &amp; ppoSheetName
    Else
        wsLog.Cells(logRow, 19).Value = "PDF save failed"
    End If
    If Not isEdit Then wsLog.Range("B3").Value = ppoNum + 1
    wsLog.Activate
    Application.Goto wsLog.Cells(logRow, 1), True
    MsgBox "PPO " &amp; ppoNum &amp; IIf(isEdit, " UPDATED.", " generated.") &amp; vbCrLf &amp; "Totals: " &amp; totalCtns &amp; " CTNS | " &amp; Format(totalCBM, "0.000") &amp; " CBM", vbInformation
End Sub
Sub SavePPOasPDF()
    Dim wb As Workbook: Set wb = ThisWorkbook
    Dim ws As Worksheet: Set ws = ActiveSheet
    If Left(ws.Name, 4) &lt;&gt; "PPO-" Then
        Dim latest As Long: latest = 0
        Dim sh As Worksheet
        For Each sh In wb.Sheets
            If Left(sh.Name, 4) = "PPO-" Then
                If CLng(Mid(sh.Name, 5)) &gt; latest Then latest = CLng(Mid(sh.Name, 5))
            End If
        Next sh
        If latest = 0 Then MsgBox "No PPO sheets found.", vbExclamation: Exit Sub
        Set ws = wb.Sheets("PPO-" &amp; latest): ws.Activate
    End If
    With ws.PageSetup
        .Orientation = xlLandscape
        .FitToPagesWide = 1
        .FitToPagesTall = 1
        .Zoom = False
        .CenterHorizontally = True
        .PrintArea = "A1:Q68"
    End With
    Dim pdfFolder As String: pdfFolder = wb.Path
    If pdfFolder = "" Then pdfFolder = Environ("USERPROFILE") &amp; "\Documents"
    Dim savePath As String
    savePath = Application.GetSaveAsFilename(InitialFileName:=pdfFolder &amp; "\" &amp; ws.Name &amp; ".pdf", FileFilter:="PDF Files (*.pdf), *.pdf", Title:="Save PPO as PDF")
    If savePath = "False" Then Exit Sub
    ws.ExportAsFixedFormat Type:=xlTypePDF, Filename:=savePath, Quality:=xlQualityStandard, IgnorePrintAreas:=False, OpenAfterPublish:=True
    MsgBox "PDF saved: " &amp; savePath, vbInformation
End Sub
Sub PrintPPO()
    Dim ws As Worksheet: Set ws = ActiveSheet
    If Left(ws.Name, 4) &lt;&gt; "PPO-" Then
        Dim latest As Long: latest = 0
        Dim sh As Worksheet
        For Each sh In ThisWorkbook.Sheets
            If Left(sh.Name, 4) = "PPO-" Then
                If CLng(Mid(sh.Name, 5)) &gt; latest Then latest = CLng(Mid(sh.Name, 5))
            End If
        Next sh
        If latest = 0 Then MsgBox "No PPO sheets found.", vbExclamation: Exit Sub
        Set ws = ThisWorkbook.Sheets("PPO-" &amp; latest): ws.Activate
    End If
    ws.PrintPreview
End Sub
Sub SearchPPO()
    Dim wb As Workbook: Set wb = ThisWorkbook
    Dim wsGen As Worksheet: Set wsGen = wb.Sheets(GEN_SHEET)
    Dim wsLog As Worksheet: Set wsLog = wb.Sheets(LOG_SHEET)
    Dim ppoNum As Long
    Dim searchVal As String: searchVal = Trim(CStr(wsGen.Range("B59").Value))
    If searchVal = "" Then
        Dim inp As String: inp = InputBox("Enter PPO number:", "Search PPO")
        If inp = "" Then Exit Sub
        ppoNum = CLng(inp)
    Else
        ppoNum = CLng(searchVal)
    End If
    Dim fc As Range
    Set fc = wsLog.Range("A6:A5000").Find(What:=ppoNum, LookIn:=xlValues, LookAt:=xlWhole)
    If fc Is Nothing Then MsgBox "PPO " &amp; ppoNum &amp; " not found.", vbExclamation: Exit Sub
    Dim logRow As Long: logRow = fc.Row
    wsGen.Range("B6").Value = wsLog.Cells(logRow, 3).Value
    wsGen.Range("B12").Value = wsLog.Cells(logRow, 4).Value
    wsGen.Range("B19").Value = wsLog.Cells(logRow, 5).Value
    wsGen.Range("E19").Value = wsLog.Cells(logRow, 6).Value
    wsGen.Range("B20").Value = wsLog.Cells(logRow, 7).Value
    wsGen.Range("E18").Value = wsLog.Cells(logRow, 8).Value
    wsGen.Range("B21").Value = wsLog.Cells(logRow, 9).Value
    wsGen.Range("E21").Value = wsLog.Cells(logRow, 10).Value
    wsGen.Range("B22").Value = wsLog.Cells(logRow, 11).Value
    wsGen.Range("E20").Value = wsLog.Cells(logRow, 16).Value
    wsGen.Range("B46").Value = wsLog.Cells(logRow, 13).Value
    Dim ppoSheet As String: ppoSheet = "PPO-" &amp; ppoNum
    Dim shEx As Boolean: shEx = False
    Dim s As Worksheet
    For Each s In wb.Sheets
        If s.Name = ppoSheet Then shEx = True
    Next s
    If shEx Then
        Dim wsPPO As Worksheet: Set wsPPO = wb.Sheets(ppoSheet)
        Dim r As Integer
        For r = 31 To 44
            wsGen.Cells(r, 2).ClearContents
            wsGen.Cells(r, 4).ClearContents
            wsGen.Cells(r, 7).ClearContents
            wsGen.Cells(r, 8).ClearContents
        Next r
        Dim pr As Integer: pr = 35: r = 31
        Do While pr &lt;= 48 And r &lt;= 44
            If Trim(CStr(wsPPO.Cells(pr, 2).Value)) &lt;&gt; "" Then
                wsGen.Cells(r, 2).Value = wsPPO.Cells(pr, 2).Value
                wsGen.Cells(r, 4).Value = wsPPO.Cells(pr, 14).Value
                wsGen.Cells(r, 7).Value = wsPPO.Cells(pr, 7).Value
                wsGen.Cells(r, 8).Value = wsPPO.Cells(pr, 17).Value
                r = r + 1
            End If
            pr = pr + 1
        Loop
    End If
    wsGen.Activate
    wsGen.Range("B59").ClearContents
    wsGen.Range("B60").Value = "PPO " &amp; ppoNum &amp; " loaded."
    MsgBox "PPO " &amp; ppoNum &amp; " loaded.", vbInformation
End Sub
Sub ClearForm()
    Dim wsGen As Worksheet: Set wsGen = ThisWorkbook.Sheets(GEN_SHEET)
    If MsgBox("Clear all inputs?", vbYesNo + vbQuestion) = vbNo Then Exit Sub
    Application.EnableEvents = False
    wsGen.Range("B6").Value = "Micahel Todd Beauty"
    wsGen.Range("B12").Value = "Ningbo Dream Big International Trade Co., Ltd"
    wsGen.Range("B19").ClearContents: wsGen.Range("E19").ClearContents
    wsGen.Range("B20").ClearContents
    wsGen.Range("E20").Value = "DDP"
    wsGen.Range("E18").Value = "Container"
    wsGen.Range("B21").Value = "Ningbo": wsGen.Range("E21").Value = "TBD"
    wsGen.Range("B22").Value = "China": wsGen.Range("E22").ClearContents
    Dim i As Integer
    For i = 31 To 44
        wsGen.Cells(i, 2).ClearContents: wsGen.Cells(i, 4).ClearContents
        wsGen.Cells(i, 7).ClearContents: wsGen.Cells(i, 8).ClearContents
    Next i
    wsGen.Range("B46").ClearContents: wsGen.Range("B49:B53").ClearContents
    wsGen.Range("D24").ClearContents: wsGen.Range("B59").ClearContents
    wsGen.Range("B60").Value = "Form cleared."
    Application.EnableEvents = True
    wsGen.Range("B19").Select
End Sub
Sub GoToPPO()
    Dim n As String: n = InputBox("Enter PPO number:", "Go To PPO")
    If n = "" Then Exit Sub
    On Error Resume Next
    ThisWorkbook.Sheets("PPO-" &amp; n).Activate
    If Err.Number &lt;&gt; 0 Then MsgBox "PPO-" &amp; n &amp; " not found.", vbExclamation
    On Error GoTo 0
End Sub</t>
  </si>
  <si>
    <t>PPO Log</t>
  </si>
  <si>
    <t>PPO #</t>
  </si>
  <si>
    <t>Date</t>
  </si>
  <si>
    <t>Bill To</t>
  </si>
  <si>
    <t>Seller / Exporter</t>
  </si>
  <si>
    <t>Req. Ship Date</t>
  </si>
  <si>
    <t>Est. Ship Date</t>
  </si>
  <si>
    <t>Payment Terms</t>
  </si>
  <si>
    <t>Mode of Transport</t>
  </si>
  <si>
    <t>Port of Loading</t>
  </si>
  <si>
    <t>Port of Discharge</t>
  </si>
  <si>
    <t>Country of Origin</t>
  </si>
  <si>
    <t>Items (Item# | Desc | Qty | Ctns | CBM)</t>
  </si>
  <si>
    <t>Special Notes</t>
  </si>
  <si>
    <t>Status</t>
  </si>
  <si>
    <t>Generated By</t>
  </si>
  <si>
    <t>Incoterms</t>
  </si>
  <si>
    <t>Total CTNS</t>
  </si>
  <si>
    <t>Total CBM</t>
  </si>
  <si>
    <t>PDF File Path (click to open)</t>
  </si>
  <si>
    <t>Edit History</t>
  </si>
  <si>
    <t>NEXT PPO #</t>
  </si>
  <si>
    <t>— Log starts below —</t>
  </si>
  <si>
    <t>Items Summary</t>
  </si>
  <si>
    <t>AWB/BL #</t>
  </si>
  <si>
    <t>Item No.</t>
  </si>
  <si>
    <t>Item Description</t>
  </si>
  <si>
    <t>In Stock</t>
  </si>
  <si>
    <t>Default Warehouse</t>
  </si>
  <si>
    <t>Last Purchase Date</t>
  </si>
  <si>
    <t>Qty Ordered by Customers</t>
  </si>
  <si>
    <t>ABC Classification</t>
  </si>
  <si>
    <t>Qty Ordered from Vendors</t>
  </si>
  <si>
    <t>Column1</t>
  </si>
  <si>
    <t>Property 1</t>
  </si>
  <si>
    <t>Property 2</t>
  </si>
  <si>
    <t>Height 1 - UoM for Purchasing</t>
  </si>
  <si>
    <t>Length 1 - UoM for Purchasing</t>
  </si>
  <si>
    <t>Width 1 - UoM for Purchasing</t>
  </si>
  <si>
    <t>Weight 1 - UoM for Purchasing</t>
  </si>
  <si>
    <t>Superseding Item</t>
  </si>
  <si>
    <t>UPC Inner Carton Quantity</t>
  </si>
  <si>
    <t>UPC Master Carton Quantity</t>
  </si>
  <si>
    <t>M/Carton Volume (Inches)</t>
  </si>
  <si>
    <t>Issue Price</t>
  </si>
  <si>
    <t>Height 1 - Purchasing Unit</t>
  </si>
  <si>
    <t>Inactive</t>
  </si>
  <si>
    <t>Branch</t>
  </si>
  <si>
    <t>No</t>
  </si>
  <si>
    <t>Yes</t>
  </si>
  <si>
    <t>Spa Sciences</t>
  </si>
  <si>
    <t>Target Display</t>
  </si>
  <si>
    <t>F Other</t>
  </si>
  <si>
    <t>Michael Todd Beauty</t>
  </si>
  <si>
    <t>Lexi Ziva Bundle</t>
  </si>
  <si>
    <t>AM - SS</t>
  </si>
  <si>
    <t>Acne Away</t>
  </si>
  <si>
    <t>JCP Display</t>
  </si>
  <si>
    <t>Face and Body Hair Set (Lexi &amp; Sima White)</t>
  </si>
  <si>
    <t>Face and Body Hair Set (Lexi &amp; Sima Green)</t>
  </si>
  <si>
    <t>Face and Body Hair Set (Lexi &amp; Sima Pink)</t>
  </si>
  <si>
    <t>SBGA-SS</t>
  </si>
  <si>
    <t>Re-Order Charge</t>
  </si>
  <si>
    <t>You Dew You</t>
  </si>
  <si>
    <t>Additional Charge</t>
  </si>
  <si>
    <t>OFFICEMT</t>
  </si>
  <si>
    <t>Additional Charge - Spa Sciences</t>
  </si>
  <si>
    <t>OFFICESS</t>
  </si>
  <si>
    <t>Additional Charges - DO NOT USE</t>
  </si>
  <si>
    <t>Additional Charges MTB</t>
  </si>
  <si>
    <t>Additional Charge 3</t>
  </si>
  <si>
    <t>Reshipment Fee</t>
  </si>
  <si>
    <t>Soniclear Travel Case - Boxed (for Petite ONLY)</t>
  </si>
  <si>
    <t>SBGA-MT</t>
  </si>
  <si>
    <t>E Phase-Out</t>
  </si>
  <si>
    <t>Soniclear USB Plug Adapter - US</t>
  </si>
  <si>
    <t>Soniclear Serum Infuser Head - Boxed</t>
  </si>
  <si>
    <t>NasalFresh MD - Nose Pillows - Patent Adjustment</t>
  </si>
  <si>
    <t>SonicBlend - Silicone Brush Cleaning Mat</t>
  </si>
  <si>
    <t>Soniclear Elite Base &amp;Cord - Chrome Base</t>
  </si>
  <si>
    <t>Sonic Eraser Pro Base and Cord</t>
  </si>
  <si>
    <t>Sonicsmooth - Chrome Base and White Cord USB</t>
  </si>
  <si>
    <t>C Low Vol</t>
  </si>
  <si>
    <t>Sonic Refresher - Chrome Base w/White Cord USB</t>
  </si>
  <si>
    <t>Sonicclear Petite- Chrome Base w/White Top and White Cord USB</t>
  </si>
  <si>
    <t>Spa Sciences Influencer Box</t>
  </si>
  <si>
    <t>Younilook Mirror Readers</t>
  </si>
  <si>
    <t>Soniclear Elite - Apricot Blossom</t>
  </si>
  <si>
    <t>Soniclear Elite - Pink Sakura</t>
  </si>
  <si>
    <t>Soniclear - Shower Caddy - White</t>
  </si>
  <si>
    <t>SonicRefresher - 2pc O-Ring &amp; 70 pk Filter Set in Color Box</t>
  </si>
  <si>
    <t>SonicRefresher - Fine Head - Color Box</t>
  </si>
  <si>
    <t>SonicRefresher - Regular Fine Head - Color Box</t>
  </si>
  <si>
    <t>SonicRefresher - Coarse Head - Color Box</t>
  </si>
  <si>
    <t>SonicRefresher - Body Head - Color Box</t>
  </si>
  <si>
    <t>Sonicblend Pro - Pearl White</t>
  </si>
  <si>
    <t>811573030338-RAW</t>
  </si>
  <si>
    <t>SonicSmooth Unit Lavender with USB cord, stand, manual and 8 single use blades</t>
  </si>
  <si>
    <t>MT-IT-AW</t>
  </si>
  <si>
    <t>I Ind. Comp.</t>
  </si>
  <si>
    <t>Soniclear Petite - Millenial Pink - W/Case/ChrgStand/Infuser Head/USB</t>
  </si>
  <si>
    <t>Soniclear Petite - Rose Gold - W/Case/ChrgStand/Infuser Head/USB</t>
  </si>
  <si>
    <t>Soniclear - White Marble - W/Case/ChrgStand/Infuser Head/USB</t>
  </si>
  <si>
    <t>D Phase-In</t>
  </si>
  <si>
    <t>811573030475-RAW</t>
  </si>
  <si>
    <t>SonicSmooth Unit White with USB cord, stand, manual and 8 single use blades</t>
  </si>
  <si>
    <t>SonicRefresher - LCD - Pink</t>
  </si>
  <si>
    <t>SonicBlend - Pro - Replacement Head # 20 Black</t>
  </si>
  <si>
    <t>SonicRefresher - LCD - Marble</t>
  </si>
  <si>
    <t>PediMax - Callus Remover</t>
  </si>
  <si>
    <t>SonicRefresher - LCD - Black</t>
  </si>
  <si>
    <t>Soniclear Petite - Rose Gold Marble - W/Case/ChrgStand/Infuser Head/USB</t>
  </si>
  <si>
    <t>Soniclear Petite - Pearl White - W/Case/ChrgStand/Infuser Head/USB</t>
  </si>
  <si>
    <t>HydroJet Facial System - White Marble</t>
  </si>
  <si>
    <t>PediMax - Replacement Heads 3pk - Coarse, Medium, Fine</t>
  </si>
  <si>
    <t>MicroSmooth Tips for SonicSmooth - 1 Fine/1Coarse</t>
  </si>
  <si>
    <t>Soniclear Elite - English Garden - Travel Case/Infuser Head</t>
  </si>
  <si>
    <t>Soniclear Elite - Carbon Fiber - Travel Case/Infuser Head</t>
  </si>
  <si>
    <t>Clarisonic Brush - Face - White</t>
  </si>
  <si>
    <t>Clarisonic Brush - Face - Sensitive</t>
  </si>
  <si>
    <t>Soniclear Petite - Carbon Fibre - W/Case/ChrgStand/Infuser Head/USB</t>
  </si>
  <si>
    <t>Soniclear Petite - Purple Marble - W/Case/ChrgStand/Infuser Head/USB</t>
  </si>
  <si>
    <t>Soniclear Petite - Purple Metallic - W/Case/ChrgStand/Infuser Head/USB</t>
  </si>
  <si>
    <t>Soniclear Elite - Rose Gold Marble w/Serum Infuser Head/Travel Case</t>
  </si>
  <si>
    <t>Soniclear Elite - Rose Metallic w/Serum Infuser Head/Travel Case</t>
  </si>
  <si>
    <t>Sonic Skim - Pearl White</t>
  </si>
  <si>
    <t>Sonic Skim Chrome</t>
  </si>
  <si>
    <t>Sonic Trim Duo Facial Hair Remover and Eyebrow Trimmer</t>
  </si>
  <si>
    <t>Sonic Sculpt Face &amp; Body-White Marble w/2 Globe Sets</t>
  </si>
  <si>
    <t>811573031038-RAW</t>
  </si>
  <si>
    <t>Sonic Sculpt Face and Body - White Marble w/2 sets of Globes</t>
  </si>
  <si>
    <t>Sonic Refresher 3 pc Suction Heads</t>
  </si>
  <si>
    <t>Hydrojet Replacement Head</t>
  </si>
  <si>
    <t>A High Vol</t>
  </si>
  <si>
    <t>Sonicsmooth - Green - New</t>
  </si>
  <si>
    <t>Sonic Trim Duo Replacement Kit</t>
  </si>
  <si>
    <t>SONIC SKIM LIMITED EDITION 24K GOLD</t>
  </si>
  <si>
    <t>HYDRASTEAMER</t>
  </si>
  <si>
    <t>SONIC SKIM LIMITED EDITION 24K GOLD + HYDRASTEAMER</t>
  </si>
  <si>
    <t>811573031182-RAW</t>
  </si>
  <si>
    <t>AM - MTB</t>
  </si>
  <si>
    <t>RENEW ESSENTIAL OIL</t>
  </si>
  <si>
    <t>COSMETICS BAG</t>
  </si>
  <si>
    <t>KNU Anti-aging Cream - 50ml</t>
  </si>
  <si>
    <t>811573031243-BULK</t>
  </si>
  <si>
    <t>KNU Anti-Aging Face Lift Cream Bulk Formula</t>
  </si>
  <si>
    <t>COSM-MT</t>
  </si>
  <si>
    <t>811573031243-RAW</t>
  </si>
  <si>
    <t>KNU Anti-aging Face Lift Cream Formula</t>
  </si>
  <si>
    <t>KNU Anti-aging Serum - 30ml</t>
  </si>
  <si>
    <t>811573031250-BULK</t>
  </si>
  <si>
    <t>KNU Anti-Aging Lift Serum Bulk Formula</t>
  </si>
  <si>
    <t>811573031250-RAW</t>
  </si>
  <si>
    <t>KNU Anti-aging Face Lift Serum Formula</t>
  </si>
  <si>
    <t>Sonicsmooth Pro Plus Replacements (4 PCS)</t>
  </si>
  <si>
    <t>Sonicsmooth Pro Plus Replacements (2 PCS)</t>
  </si>
  <si>
    <t>HYDRASTEAMER AROMATERAPHY BASKET &amp; FILTERS KIT</t>
  </si>
  <si>
    <t>MICROSMOOTH CLEAR REPLACEMENT TIPS - KIT (2024)</t>
  </si>
  <si>
    <t>Lumos At Home IPL System - Black</t>
  </si>
  <si>
    <t>Lumos At Home IPL System - Lavender</t>
  </si>
  <si>
    <t>NasalFresh MD - Nasal Rinse Salt Bag - 90 x 3.75g packs</t>
  </si>
  <si>
    <t>SONICSMOOTH HAIR IDENTIFIER SPRAY</t>
  </si>
  <si>
    <t>SONICSMOOTH PRO+ with lights PEACH FUZZ DEVICE (2024)</t>
  </si>
  <si>
    <t>SONICSMOOTH PRO+ with lights  WINE (LIMITED EDITION) 2025</t>
  </si>
  <si>
    <t>SONICLEAR FACE BRUSH HEAD BLACK RIM 2025</t>
  </si>
  <si>
    <t>DERMAGLOW</t>
  </si>
  <si>
    <t>811573031496-RAW</t>
  </si>
  <si>
    <t>SONICSMOOTH DERMAGLOW Formula</t>
  </si>
  <si>
    <t>AERO - Green - w/USB</t>
  </si>
  <si>
    <t>SIMA - White - w/USB</t>
  </si>
  <si>
    <t>SIMA - Green - w/USB</t>
  </si>
  <si>
    <t>ECHO - Pink - w/USB</t>
  </si>
  <si>
    <t>ECHO - White - w/USB</t>
  </si>
  <si>
    <t>NOVA - Replacement Brush Head</t>
  </si>
  <si>
    <t>NOVA - Sensitive Brush Head</t>
  </si>
  <si>
    <t>SIMA - Replacement Blade Kit</t>
  </si>
  <si>
    <t>MIO - Replacement Filters</t>
  </si>
  <si>
    <t>MIO - Replacement Treatment Head</t>
  </si>
  <si>
    <t>ECHO - Replacement Brush Head</t>
  </si>
  <si>
    <t>VIVA - 1 Coarse and 1 Fine Replacement Heads</t>
  </si>
  <si>
    <t>VIVA - 2 Coarse Replacement Heads</t>
  </si>
  <si>
    <t>MIO - Green - w/USB</t>
  </si>
  <si>
    <t>USB Wall Charging Box</t>
  </si>
  <si>
    <t>NOVA - Serum Infusion Head</t>
  </si>
  <si>
    <t>850003115160-RAW</t>
  </si>
  <si>
    <t>AERO - Renewal Cream 30ml</t>
  </si>
  <si>
    <t>VIVA - Nail Polisher Head - 2 Pc.</t>
  </si>
  <si>
    <t>VIVA - Lady Shaver Head</t>
  </si>
  <si>
    <t>MIO - Mint - w/Travel Bag and USB - Walmart</t>
  </si>
  <si>
    <t>850003115269-1</t>
  </si>
  <si>
    <t>MIO - Mint - w/Travel Bag and USB - Walmart (3-pack master)</t>
  </si>
  <si>
    <t>CHRATLSS</t>
  </si>
  <si>
    <t>SIMA - Pink - w/Bonus Replacement Kit Target</t>
  </si>
  <si>
    <t>NOVA - Pink - w/Bonus Sensitive Brush Head &amp; Shower Caddy - Walmart Bundle</t>
  </si>
  <si>
    <t>NOVA - Green - w/Bonus Sensitive Brush Head &amp; Shower Caddy - Walmart</t>
  </si>
  <si>
    <t>AERO - White Target</t>
  </si>
  <si>
    <t>850003115375-RAW</t>
  </si>
  <si>
    <t>AERO- White w/Cream - Target Bundle</t>
  </si>
  <si>
    <t>AERO-MINT w/Cream - Target Bundle</t>
  </si>
  <si>
    <t>VIVA - White Target Bundle</t>
  </si>
  <si>
    <t>NOVA - Shower Caddy</t>
  </si>
  <si>
    <t>ISLA - Sonic Facial &amp; Body Contouring  System - Pink</t>
  </si>
  <si>
    <t>GWP - Silver Cosmetics Bag</t>
  </si>
  <si>
    <t>SIMA - Microderm Tips - 1 Coarse, 1 Fine</t>
  </si>
  <si>
    <t>BELLA - Marble - Wet/Dry Sonic Microdermabrasion System</t>
  </si>
  <si>
    <t>NURI - Pink</t>
  </si>
  <si>
    <t>850003115627-RAW</t>
  </si>
  <si>
    <t>NURI-Pink</t>
  </si>
  <si>
    <t>AIVA - Black - Facial Hair Remover &amp; Eyebrow Trimmer</t>
  </si>
  <si>
    <t>AIVA - White - Facial Hair Remover &amp; Eyebrow Trimmer</t>
  </si>
  <si>
    <t>MIO Suction Tips</t>
  </si>
  <si>
    <t>MIO USB Cord</t>
  </si>
  <si>
    <t>ELLA 3-in-1 Advanced Smoothing System</t>
  </si>
  <si>
    <t>ISLA - Pink - With Extra Rose Quartz Globes Walmart</t>
  </si>
  <si>
    <t>850003115801-RAW</t>
  </si>
  <si>
    <t>ISLA - Pink - add rose quartz globes</t>
  </si>
  <si>
    <t>ECHODASS</t>
  </si>
  <si>
    <t>SORA - Microneedling Derma Tool</t>
  </si>
  <si>
    <t>Target SIMA Sonic Dermaplaning System White</t>
  </si>
  <si>
    <t>SORA - Microneedling Derma Tool Walmart</t>
  </si>
  <si>
    <t>LELA - Skin Spatula - Mint</t>
  </si>
  <si>
    <t>LELA - Skin Spatula - Pink</t>
  </si>
  <si>
    <t>BELLA - Diamond Replacement Tip</t>
  </si>
  <si>
    <t>BELLA - Replacement Filters/Rings</t>
  </si>
  <si>
    <t>NURI - Pink Walmart</t>
  </si>
  <si>
    <t>850026141030-RAW</t>
  </si>
  <si>
    <t>NURI - Pink - WalMart</t>
  </si>
  <si>
    <t>LELA - Pink Walmart</t>
  </si>
  <si>
    <t>850026141085-RAW</t>
  </si>
  <si>
    <t>NURI-Mint</t>
  </si>
  <si>
    <t>Lifting and Firming Mask- NURI Compatible (Skincare Infused 7ct set)</t>
  </si>
  <si>
    <t>Hydrating&amp;Calming Masks-NURI compatible (Skincare infused 7ct set)</t>
  </si>
  <si>
    <t>Anti Aging Mask- NURI compatible (Skincare Infused 7 ct set)</t>
  </si>
  <si>
    <t>850026141115-RAW</t>
  </si>
  <si>
    <t>Anti-Aging Masks (7-ct) -NURI compatible</t>
  </si>
  <si>
    <t>850026141115-SINGLE</t>
  </si>
  <si>
    <t>Anti-Aging Masks (single) -NURI compatible</t>
  </si>
  <si>
    <t>850026141115-SINGLE-RAW</t>
  </si>
  <si>
    <t>SORA 12 pin microneedling replacement kit - 5 cartridges</t>
  </si>
  <si>
    <t>SORA nanoneedling replacement kit - 5 cartridges</t>
  </si>
  <si>
    <t>NERA- 3-in-1 Shower Body Brush w/ USB - White</t>
  </si>
  <si>
    <t>PRIMA - Multi-Purpose Massager</t>
  </si>
  <si>
    <t>ZIVA- Lady Shaver</t>
  </si>
  <si>
    <t>Obsidian Roller &amp; Gua Sha Set</t>
  </si>
  <si>
    <t>Nano Glass Foot File</t>
  </si>
  <si>
    <t>Nano Mister</t>
  </si>
  <si>
    <t>Aiva Replacement Kit (Eye Brow &amp; Facial Hair Trimmer)</t>
  </si>
  <si>
    <t>Bella Pore Extraction Tips</t>
  </si>
  <si>
    <t>CIRRA - NANO Ionic Vanity Facial Steamer</t>
  </si>
  <si>
    <t>LORI LED Sonic Thermal Eye &amp; Lip Massage Wand</t>
  </si>
  <si>
    <t>Gold Bar - Vibrating Face Lift Bar</t>
  </si>
  <si>
    <t>ZIVA - Lady Shaver WALMART HTB</t>
  </si>
  <si>
    <t>HG-SS</t>
  </si>
  <si>
    <t>Nano Mister Walmart HTB</t>
  </si>
  <si>
    <t>NERA-3-in-1Shower Body Brush w/USB Walmart-White</t>
  </si>
  <si>
    <t>AERO - White - w/USB WALMART HTB</t>
  </si>
  <si>
    <t>ECHO - Black - w/USB WALMART HTB</t>
  </si>
  <si>
    <t>LORI LED Sonic Thermal Eye &amp; Lip Massage Wand - Walmart</t>
  </si>
  <si>
    <t>Tesa Shiatsu Wrap Massager</t>
  </si>
  <si>
    <t>NERA- 3 in 1 Shower Body Brush w/USB- Pink</t>
  </si>
  <si>
    <t>NERA-3-in-1 Shower Body Brush w/USB - Gray</t>
  </si>
  <si>
    <t>DAILY CLEANSER 200ml</t>
  </si>
  <si>
    <t>850026141610-RAW</t>
  </si>
  <si>
    <t>DAILY CLEANSER Formula</t>
  </si>
  <si>
    <t>OXYGENSS</t>
  </si>
  <si>
    <t>MICELLAR WATER 200ML</t>
  </si>
  <si>
    <t>850026141627-RAW</t>
  </si>
  <si>
    <t>MICELLAR WATER Formula</t>
  </si>
  <si>
    <t>CLEANSING OIL 60ML</t>
  </si>
  <si>
    <t>850026141634-RAW</t>
  </si>
  <si>
    <t>LIPID CLEANSER Formula</t>
  </si>
  <si>
    <t>SOOTHING TONIC 200ML</t>
  </si>
  <si>
    <t>850026141641-RAW</t>
  </si>
  <si>
    <t>SOOTHING TONIC Formula</t>
  </si>
  <si>
    <t>HYDRATING TONIC 200ML</t>
  </si>
  <si>
    <t>850026141658-RAW</t>
  </si>
  <si>
    <t>HYDRATING TONIC Formula</t>
  </si>
  <si>
    <t>VITAMIN C SERUM 30ML</t>
  </si>
  <si>
    <t>850026141665-RAW</t>
  </si>
  <si>
    <t>VITAMIN C SERUM Formula</t>
  </si>
  <si>
    <t>DETOX SERUM 30ML</t>
  </si>
  <si>
    <t>850026141672-RAW</t>
  </si>
  <si>
    <t>DETOX SERUM Formula</t>
  </si>
  <si>
    <t>HYDRATING SERUM 30ML</t>
  </si>
  <si>
    <t>850026141689-RAW</t>
  </si>
  <si>
    <t>HYDRATING SERUM Formula</t>
  </si>
  <si>
    <t>LIFTING EYE SERUM 15ML</t>
  </si>
  <si>
    <t>850026141696-RAW</t>
  </si>
  <si>
    <t>LIFTING EYE SERUM Formula</t>
  </si>
  <si>
    <t>ALL DAY MOISTURIZER 53ML</t>
  </si>
  <si>
    <t>850026141702-RAW</t>
  </si>
  <si>
    <t>ALL DAY MOISTURIZER Formula</t>
  </si>
  <si>
    <t>OVERNIGHT CREAM (OILY SKIN) 53ML</t>
  </si>
  <si>
    <t>850026141719-RAW</t>
  </si>
  <si>
    <t>OVERNIGHT CREAM (OILY SKIN) Formula</t>
  </si>
  <si>
    <t>OVERNIGHT CREAM (DRY SKIN) 53ML</t>
  </si>
  <si>
    <t>850026141726-RAW</t>
  </si>
  <si>
    <t>OVERNIGHT CREAM (DRY SKIN) Formula</t>
  </si>
  <si>
    <t>MATTIFYING POTION 53ML</t>
  </si>
  <si>
    <t>850026141733-RAW</t>
  </si>
  <si>
    <t>MATTIFYING POTION Formula</t>
  </si>
  <si>
    <t>BLEMISH POTION 15ML</t>
  </si>
  <si>
    <t>850026141740-RAW</t>
  </si>
  <si>
    <t>BLEMISH POTION Formula</t>
  </si>
  <si>
    <t>GLOW FACIAL OIL 30ML</t>
  </si>
  <si>
    <t>850026141757-RAW</t>
  </si>
  <si>
    <t>GLOW FACIAL OIL Formula</t>
  </si>
  <si>
    <t>HYDRATING DETOX MASK 60ML</t>
  </si>
  <si>
    <t>850026141764-RAW</t>
  </si>
  <si>
    <t>HYDRATING DETOX MASK Formula</t>
  </si>
  <si>
    <t>OVERNIGHT MASK 60ML</t>
  </si>
  <si>
    <t>850026141771-RAW</t>
  </si>
  <si>
    <t>OVERNIGHT MASK Formula</t>
  </si>
  <si>
    <t>ENZYMATIC SCRUB 50ML</t>
  </si>
  <si>
    <t>850026141788-RAW</t>
  </si>
  <si>
    <t>ENZYMATIC SCRUB Formula</t>
  </si>
  <si>
    <t>HYDRATING MIST 100ML</t>
  </si>
  <si>
    <t>850026141795-RAW</t>
  </si>
  <si>
    <t>HYDRATING MIST Formula</t>
  </si>
  <si>
    <t>LIP PLUMP SERUM</t>
  </si>
  <si>
    <t>850026141801-RAW</t>
  </si>
  <si>
    <t>LIP PLUMP SERUM Formula</t>
  </si>
  <si>
    <t>NERA Replacement Body Brush Head (Chrome - White Bristles)</t>
  </si>
  <si>
    <t>NERA Replacement Loofah Head (Chrome-Plum Loofah)</t>
  </si>
  <si>
    <t>NERA Pomice Head (Chrome)</t>
  </si>
  <si>
    <t>ZIVA-Replacement Shaver Cartridge - 2ct</t>
  </si>
  <si>
    <t>NANO Mister with Digital Skin Analyzer</t>
  </si>
  <si>
    <t>NERA- 3-in-1 USB Rechargeable Shower Body Brush Lavender Walmart</t>
  </si>
  <si>
    <t>NERA- 3-in-1 USB Rechargeable Shower Body Brush Black Walmart</t>
  </si>
  <si>
    <t>LEXI Hair Remover-White</t>
  </si>
  <si>
    <t>Vara Massage Stick</t>
  </si>
  <si>
    <t>NANO Mister with Digital Skin Analyzer - WALMART</t>
  </si>
  <si>
    <t>Retinol Serum 30ml</t>
  </si>
  <si>
    <t>850026141955-RAW</t>
  </si>
  <si>
    <t>Retinol Serum Formula</t>
  </si>
  <si>
    <t>NERA- 3-in-1 Shower Body Brush w/ USB - Gray and White</t>
  </si>
  <si>
    <t>PRIMA Body Contouring &amp; Massager - Walmart</t>
  </si>
  <si>
    <t>CIRRA AROMATHERAPY KIT</t>
  </si>
  <si>
    <t>Nova - Black w/USB</t>
  </si>
  <si>
    <t>Aiva Deluxe: Dual Sonic Facial Hair Remover &amp; Eyebrow Trimmer WALMART</t>
  </si>
  <si>
    <t>LEXI: IPL Hair Removal Device Walmart-White</t>
  </si>
  <si>
    <t>VARA Massage Stick - BLACK</t>
  </si>
  <si>
    <t>Travel Bag</t>
  </si>
  <si>
    <t>SmartGun Elite-White</t>
  </si>
  <si>
    <t>Smartgun Pro - Black</t>
  </si>
  <si>
    <t>Spa Sciences Tote Bag</t>
  </si>
  <si>
    <t>Smartgun Elite-Black</t>
  </si>
  <si>
    <t>SmartGun Pro - White</t>
  </si>
  <si>
    <t>LEXI: IPL Hair Removal Device Black</t>
  </si>
  <si>
    <t>Target Display - 2024</t>
  </si>
  <si>
    <t>NasalFresh MD</t>
  </si>
  <si>
    <t>850038082314-1</t>
  </si>
  <si>
    <t>NasalFresh MD - Shopify</t>
  </si>
  <si>
    <t>850038082314-RAW</t>
  </si>
  <si>
    <t>NasalFresh MD - Raw</t>
  </si>
  <si>
    <t>850038082338-RAW</t>
  </si>
  <si>
    <t>NasalFresh MD - Premium Bundle - Raw</t>
  </si>
  <si>
    <t>Nasal Rinse Salt Packets - 90pcs Box</t>
  </si>
  <si>
    <t>NasalFresh MD - Premium Bundle</t>
  </si>
  <si>
    <t>850038082352-RAW</t>
  </si>
  <si>
    <t>NasalFresh MD - Premium Bundle - Raw - New</t>
  </si>
  <si>
    <t>NasalFresh MD - w/ Shipper</t>
  </si>
  <si>
    <t>NasalFresh MD - Replacement Nose Pillows</t>
  </si>
  <si>
    <t>SIMA Premium Bundle (Pink) 2024 - Amazon</t>
  </si>
  <si>
    <t>AMZN-SS</t>
  </si>
  <si>
    <t>SIMA Premium Bundle (Mint) 2024 - Amazon</t>
  </si>
  <si>
    <t>SIMA Premium Bundle (White) 2024 - Amazon</t>
  </si>
  <si>
    <t>NasalFresh MD - Lower Tank (Replacement)</t>
  </si>
  <si>
    <t>EUCALYPTUS ESSENTIAL OIL</t>
  </si>
  <si>
    <t>NasalFresh accessory (Auto Clean)</t>
  </si>
  <si>
    <t>BioMist</t>
  </si>
  <si>
    <t>Nasal Rinse Salt Packets - 90pcs Box with 300mm cup</t>
  </si>
  <si>
    <t>CLARO - Acne Treatment Light Therapy System - NEW (2024 - 2025)</t>
  </si>
  <si>
    <t>SMARTGUN Pro - Black (3 buttons - 2025)</t>
  </si>
  <si>
    <t>NasalFresh MD - O Ring for Upper and Lower Tanks (4pcs)</t>
  </si>
  <si>
    <t>NasalFresh MD Storage Drawer/Riser with Bonus 60 Salt Packets</t>
  </si>
  <si>
    <t>NasalFresh Xylitol Sinus Rinse Packs (30 pcs)</t>
  </si>
  <si>
    <t>NasalFresh MD - Carrying Case</t>
  </si>
  <si>
    <t>NasalFresh MD - Replacement Nose Pillows Smaller Size</t>
  </si>
  <si>
    <t>NasalFresh accessory (Top and Bottom Tank Set)</t>
  </si>
  <si>
    <t>NIGHTTIME BLEND OIL</t>
  </si>
  <si>
    <t>HYDRATING NOSE OIL</t>
  </si>
  <si>
    <t>AM/PM Essential Oil Bundle</t>
  </si>
  <si>
    <t>BIOMIST MD SCENT CAPSULES</t>
  </si>
  <si>
    <t>SonicBlend Vanity Display Cradle</t>
  </si>
  <si>
    <t>SonicEraser Pro - Lavender</t>
  </si>
  <si>
    <t>859886007586-RAW</t>
  </si>
  <si>
    <t>SonicSmooth Unit Pink with USB cord, stand, manual and 8 single use blades</t>
  </si>
  <si>
    <t>SonicBlend PRO - Marble</t>
  </si>
  <si>
    <t>Soniclear Brush - Face - sensitive</t>
  </si>
  <si>
    <t>Soniclear Brush - Face - Carbon Fibre Replacement</t>
  </si>
  <si>
    <t>Soniclear - Serum Infuser Head</t>
  </si>
  <si>
    <t>SonicBlend - Replacement Brush - # 10 Round</t>
  </si>
  <si>
    <t>SonicBlend - Replacement Brush - # 6 Short</t>
  </si>
  <si>
    <t>SonicBlend - Replacement Brush # 8 Flat Top</t>
  </si>
  <si>
    <t>Soniclear Brush - Body - Plum Replacement</t>
  </si>
  <si>
    <t>Soniclear Brush - Body - White Replacement</t>
  </si>
  <si>
    <t>ECHO - Black - w/USB</t>
  </si>
  <si>
    <t>AERO - White - w/USB</t>
  </si>
  <si>
    <t>SIMA - Pink - w/USB</t>
  </si>
  <si>
    <t>MIO - White - w/USB</t>
  </si>
  <si>
    <t>NOVA - White - w/USB</t>
  </si>
  <si>
    <t>CLARO - Acne Treatment Light Therapy System</t>
  </si>
  <si>
    <t>MIO - Pink - w/USB</t>
  </si>
  <si>
    <t>NOVA - Pink - w/USB</t>
  </si>
  <si>
    <t>NOVA - Green - w/USB</t>
  </si>
  <si>
    <t>VIVA - White - w/USB</t>
  </si>
  <si>
    <t>Pink Three Step Bundle</t>
  </si>
  <si>
    <t>KNU Cream 50ml lid and pump</t>
  </si>
  <si>
    <t>KNU Cream 50ml Jar</t>
  </si>
  <si>
    <t>KNU Serum 30ml pump and cap</t>
  </si>
  <si>
    <t>KNU Serum 30ml bottle</t>
  </si>
  <si>
    <t>KNU Cream 3g Packets</t>
  </si>
  <si>
    <t>IBR-MTB</t>
  </si>
  <si>
    <t>KNU Serum 3g Packet</t>
  </si>
  <si>
    <t>KNU Cream/Serum 4X7 Sample Card</t>
  </si>
  <si>
    <t>KNU Cream 50ml product box</t>
  </si>
  <si>
    <t>KNU Serum 30ml product box</t>
  </si>
  <si>
    <t>KNU Cream 50ml master case (48 count)</t>
  </si>
  <si>
    <t>KNU Serum 30ml master case (48 count)</t>
  </si>
  <si>
    <t>AERO Renewal Cream - 30ml</t>
  </si>
  <si>
    <t>9990002-RAW</t>
  </si>
  <si>
    <t>AERO Renewal Cream Tube- 30ml</t>
  </si>
  <si>
    <t>AMZ Inventory Re-Imbursement</t>
  </si>
  <si>
    <t>Amazon Lightening Deals Fee</t>
  </si>
  <si>
    <t>Amazon Promotional Rebates</t>
  </si>
  <si>
    <t>Amazon Refunds</t>
  </si>
  <si>
    <t>AMZ Shipping Credits/Shipping Services</t>
  </si>
  <si>
    <t>Amazon Monthly Subscription</t>
  </si>
  <si>
    <t>Amazon Selling/Transaction Fees</t>
  </si>
  <si>
    <t>BB&amp;B Supply Chain Contribution</t>
  </si>
  <si>
    <t>Z-Currency Exchange</t>
  </si>
  <si>
    <t>ECHODAMT</t>
  </si>
  <si>
    <t>Z-Customer Chargeback</t>
  </si>
  <si>
    <t>Z-Cutting Die</t>
  </si>
  <si>
    <t>Daily Renewal Serum 44ml  - Product Box</t>
  </si>
  <si>
    <t>Shipping Charge</t>
  </si>
  <si>
    <t>Z-Freight In</t>
  </si>
  <si>
    <t>Discount on Order</t>
  </si>
  <si>
    <t>Z-Display Base</t>
  </si>
  <si>
    <t>Z-Extruding Machine Start Charge</t>
  </si>
  <si>
    <t>Z-Formulation Fee</t>
  </si>
  <si>
    <t>Z-Harry buys bulk adapters/boxes/batteries for better pricing and gives us credit on product assemb</t>
  </si>
  <si>
    <t>Z-HSN Chargeback</t>
  </si>
  <si>
    <t>Z-HSN Dunn and Bradstreet Reporting Charge</t>
  </si>
  <si>
    <t>Z-Cost for Models for Show</t>
  </si>
  <si>
    <t>Z-Platform Funding .75% for HSN</t>
  </si>
  <si>
    <t>Z-QA Inspection Harrys Factory - HSN</t>
  </si>
  <si>
    <t>HSN - Returns</t>
  </si>
  <si>
    <t>Z-Vendor Funded Shipping</t>
  </si>
  <si>
    <t>Z-Violation Charges - HSN</t>
  </si>
  <si>
    <t>Z-Import Tax on Life Microban</t>
  </si>
  <si>
    <t>Jojoba Scrub - 60ml Formula for Acne Regime only</t>
  </si>
  <si>
    <t>Jojoba Scrub - 60ml Tube for Acne Regime only</t>
  </si>
  <si>
    <t>LIFE AI-20-3B</t>
  </si>
  <si>
    <t>Z-Markdown Support</t>
  </si>
  <si>
    <t>Z-Package Extra Cost</t>
  </si>
  <si>
    <t>Z-Shipping Charge</t>
  </si>
  <si>
    <t>Z-Pre Press Charges</t>
  </si>
  <si>
    <t>Z-Print Plates</t>
  </si>
  <si>
    <t>Product Returns</t>
  </si>
  <si>
    <t>Z-Prototype</t>
  </si>
  <si>
    <t>Pumpkin Mask - 100ml Formula</t>
  </si>
  <si>
    <t>Pumpkin Mask Tube with cap and seal 100ml</t>
  </si>
  <si>
    <t>Z-Refunds MTB Website</t>
  </si>
  <si>
    <t>Sales Commission Allowance</t>
  </si>
  <si>
    <t>Sales Tax Payable</t>
  </si>
  <si>
    <t>Z-Sampling Costs for Boxes/Manuals/Trays</t>
  </si>
  <si>
    <t>Set Up Fee</t>
  </si>
  <si>
    <t>Z-Shipping Revenue</t>
  </si>
  <si>
    <t>Shopify Discounts</t>
  </si>
  <si>
    <t>Shopify Returns</t>
  </si>
  <si>
    <t>Z-Shrink Band Application</t>
  </si>
  <si>
    <t>SonicBlend - Black -  DISPLAY - Inductive Charging</t>
  </si>
  <si>
    <t>SonicBlend - Mermaid Diva -  DISPLAY - Inductive Charging</t>
  </si>
  <si>
    <t>SonicBlend - Pearl White -  DISPLAY - Inductive Charging</t>
  </si>
  <si>
    <t>Soniclear - Petite - English Grdn - DISPLAY - Inductive Charging</t>
  </si>
  <si>
    <t>Soniclear - Petite - Pearl White - DISPLAY - Inductive Charging</t>
  </si>
  <si>
    <t>9990208-RAW</t>
  </si>
  <si>
    <t>SonicSmooth Gel - 25ml Tube finished product Murphy</t>
  </si>
  <si>
    <t>Z-Tooling Charge/Mold</t>
  </si>
  <si>
    <t>Z-Ulta Chargeback for Sign Allowance</t>
  </si>
  <si>
    <t>Z-Ulta Chargeback for Advertising</t>
  </si>
  <si>
    <t>Ulta - Chargeback</t>
  </si>
  <si>
    <t>Z-Ulta Cost Change Funding Markdown Support</t>
  </si>
  <si>
    <t>Z-Ulta Promotion Bill Back Shared Cost</t>
  </si>
  <si>
    <t>Echo Change old blade to new</t>
  </si>
  <si>
    <t>Z-Vendor Chargeback</t>
  </si>
  <si>
    <t>LIFE AI-20-3O for PBT (bristles)</t>
  </si>
  <si>
    <t>Delivery Charge - SS</t>
  </si>
  <si>
    <t>Rose Quartz Globes</t>
  </si>
  <si>
    <t>NINGBOSS</t>
  </si>
  <si>
    <t>Natural Obsidian Globes</t>
  </si>
  <si>
    <t>NINGBOMT</t>
  </si>
  <si>
    <t>Anti Aging Mask Component</t>
  </si>
  <si>
    <t>Huini-SS</t>
  </si>
  <si>
    <t>9990510-RAW</t>
  </si>
  <si>
    <t>Premium Shipping Protection</t>
  </si>
  <si>
    <t>acne</t>
  </si>
  <si>
    <t>BOT-BKWH200ML-DC</t>
  </si>
  <si>
    <t>White Custom Beaker Shaped Bottle (Printed) for Daily Cleanser</t>
  </si>
  <si>
    <t>BERLINSS</t>
  </si>
  <si>
    <t>BOT-BKWH200ML-HT</t>
  </si>
  <si>
    <t>White Custom Beaker Shaped Bottle (Printed) for Hydrating Tonic</t>
  </si>
  <si>
    <t>BOT-BKWH200ML-MW</t>
  </si>
  <si>
    <t>White Custom Beaker Shaped Bottle (Printed) for Micellar Water</t>
  </si>
  <si>
    <t>BOT-BKWH200ML-ST</t>
  </si>
  <si>
    <t>White Custom Beaker Shaped Bottle (Printed) for Soothing Tonic</t>
  </si>
  <si>
    <t>BOT-BUWH100ML-HM</t>
  </si>
  <si>
    <t>HDPE Bullet Bottle 24-410 for Hydrating Mist</t>
  </si>
  <si>
    <t>BOT-CYWH30ML-DS</t>
  </si>
  <si>
    <t>White 30ml PET Cylinder Bottle 20/410 for Detox Serum</t>
  </si>
  <si>
    <t>BOT-CYWH30ML-HS</t>
  </si>
  <si>
    <t>White 30ml PET Cylinder Bottle 20/410 for Hydrating Serm</t>
  </si>
  <si>
    <t>BOT-CYWH30ML-VS</t>
  </si>
  <si>
    <t>White 30ml PET Cylinder Bottle 20/410 for Vitamin C Serum</t>
  </si>
  <si>
    <t>BOT-CYWH60ML-LP</t>
  </si>
  <si>
    <t>White 60ml PET Cylinder Bottle 20-410 for Lipid Cleanser</t>
  </si>
  <si>
    <t>BOT-GL15ML-BP</t>
  </si>
  <si>
    <t>15 ML Glass Bottle for Blemish Potion</t>
  </si>
  <si>
    <t>BOT-GL30ML-DG</t>
  </si>
  <si>
    <t>30 ML Glass Bottle + Purple Cap w/Dropper for DERMAGLOW</t>
  </si>
  <si>
    <t>BOT-GL30ML-FO</t>
  </si>
  <si>
    <t>30 ML Glass Bottle for Glow Facial Oil</t>
  </si>
  <si>
    <t>BOT-GL30ML-RS</t>
  </si>
  <si>
    <t>30 ML Glass Bottle for Retinol Serum</t>
  </si>
  <si>
    <t>BOT-GLV4ML-PS</t>
  </si>
  <si>
    <t>4 ml Lip Gloss Vial w/ wiper for Lip Plump Serum</t>
  </si>
  <si>
    <t>BOT-JRWH02-ES</t>
  </si>
  <si>
    <t>58 ML Doublewall Jar, 58-400 for Enzymatic Scrub</t>
  </si>
  <si>
    <t>BOT-TUBE15ML-ES</t>
  </si>
  <si>
    <t>15 ml Needlenose Tube w/ purple cap for Lifting Eye Serum</t>
  </si>
  <si>
    <t>BOT-TUBE2.0OZ-DM</t>
  </si>
  <si>
    <t>60 ml Tube with Purple Oriented Cap for Hydrating Detox Mask</t>
  </si>
  <si>
    <t>BOT-TUBE2.0OZ-OM</t>
  </si>
  <si>
    <t>60 ml Tube with Purple Oriented Cap for Overnight Mask</t>
  </si>
  <si>
    <t>BOT-TUBE50ML-DM</t>
  </si>
  <si>
    <t>Tube w/ pump and clear cap for All Day Moisturizer</t>
  </si>
  <si>
    <t>BOT-TUBE50ML-MP</t>
  </si>
  <si>
    <t>Tube w/  pump and clear cap for Mattifying Potion</t>
  </si>
  <si>
    <t>BOT-TUBE50ML-OCD</t>
  </si>
  <si>
    <t>Tube w/ pump and clear cap for Overnight Cream (Dry Skin)</t>
  </si>
  <si>
    <t>BOT-TUBE50ML-OCO</t>
  </si>
  <si>
    <t>Tube w/ pump and clear cap for Overnight Cream (Oily Skin)</t>
  </si>
  <si>
    <t>BOX_PETISHPR</t>
  </si>
  <si>
    <t>*BOX</t>
  </si>
  <si>
    <t>BOX_SBPRSHPR</t>
  </si>
  <si>
    <t>Single Shipper Sonicblend Pro</t>
  </si>
  <si>
    <t>BOX_SRSHPR</t>
  </si>
  <si>
    <t>Single Shipper Sonic Refresher</t>
  </si>
  <si>
    <t>BOX_SSSHPR</t>
  </si>
  <si>
    <t>Single Shipper SonicSmooth</t>
  </si>
  <si>
    <t>CAP-70MMSD</t>
  </si>
  <si>
    <t>70mm PVC Sealing Disk</t>
  </si>
  <si>
    <t>CAP-DCPU24/410</t>
  </si>
  <si>
    <t>Purple 24/410 Disk Top Cap</t>
  </si>
  <si>
    <t>CAP-DPPU</t>
  </si>
  <si>
    <t>Purple Dropper</t>
  </si>
  <si>
    <t>CAP-JRPU70/400</t>
  </si>
  <si>
    <t>Purple Domed Lid, 70-400</t>
  </si>
  <si>
    <t>CAP-LIPPU</t>
  </si>
  <si>
    <t>Purple Cap w/ Flocked Foot Lip Applicator</t>
  </si>
  <si>
    <t>CAP-LPPU0.1CC</t>
  </si>
  <si>
    <t>Purple Twist locking treatment pump w/clear cap</t>
  </si>
  <si>
    <t>CAP-LPPU1CC</t>
  </si>
  <si>
    <t>Purple 1cc oil pump, twist locking w/clear cap</t>
  </si>
  <si>
    <t>CAP-LPPU2CC</t>
  </si>
  <si>
    <t>Purple 2cc Down Locking Lotion Pump w/ Hose</t>
  </si>
  <si>
    <t>CAP-PU100ML</t>
  </si>
  <si>
    <t>Fine Mist Sprayer Pump 24-410 w/clear cap</t>
  </si>
  <si>
    <t>CAP-SCPU</t>
  </si>
  <si>
    <t>Purple Screw Cap</t>
  </si>
  <si>
    <t>CLAROBOX12PACK</t>
  </si>
  <si>
    <t>Claro Box</t>
  </si>
  <si>
    <t>EBOOK-Aging</t>
  </si>
  <si>
    <t>Age Gracefully E-Book</t>
  </si>
  <si>
    <t>fondue-cashback-sku-1681831762</t>
  </si>
  <si>
    <t>35% Cash Back Fondue</t>
  </si>
  <si>
    <t>giftcard10-MTB</t>
  </si>
  <si>
    <t>Gift Card $10</t>
  </si>
  <si>
    <t>giftcard10-SS</t>
  </si>
  <si>
    <t>giftcard100-MTB</t>
  </si>
  <si>
    <t>Gift Card $100</t>
  </si>
  <si>
    <t>giftcard100-SS</t>
  </si>
  <si>
    <t>giftcard150-MTB</t>
  </si>
  <si>
    <t>Gift Card $150</t>
  </si>
  <si>
    <t>giftcard150-SS</t>
  </si>
  <si>
    <t>giftcard20-MTB</t>
  </si>
  <si>
    <t>Gift Card $20</t>
  </si>
  <si>
    <t>giftcard20-SS</t>
  </si>
  <si>
    <t>giftcard250-MTB</t>
  </si>
  <si>
    <t>Gift Card $250</t>
  </si>
  <si>
    <t>giftcard250-SS</t>
  </si>
  <si>
    <t>giftcard30-MTB</t>
  </si>
  <si>
    <t>Gift Card $30</t>
  </si>
  <si>
    <t>giftcard300-MTB</t>
  </si>
  <si>
    <t>Gift Card $300</t>
  </si>
  <si>
    <t>giftcard300-SS</t>
  </si>
  <si>
    <t>giftcard50-MTB</t>
  </si>
  <si>
    <t>Gift Card $50</t>
  </si>
  <si>
    <t>giftcard50-SS</t>
  </si>
  <si>
    <t>giftcard75-MTB</t>
  </si>
  <si>
    <t>Gift Card $75</t>
  </si>
  <si>
    <t>giftcard75-SS</t>
  </si>
  <si>
    <t>IDC-SPATULA</t>
  </si>
  <si>
    <t>Spatula</t>
  </si>
  <si>
    <t>IFC-811573031496</t>
  </si>
  <si>
    <t>Tuck Flap Box for SONICSMOOTH DERMAGLOW</t>
  </si>
  <si>
    <t>IFC-850026141634</t>
  </si>
  <si>
    <t>Tuck Flap Box (18pt Card Stock, 138 x 38 x 38, MM) for Lipid Cleanser</t>
  </si>
  <si>
    <t>SCBOXSS</t>
  </si>
  <si>
    <t>IFC-850026141665</t>
  </si>
  <si>
    <t>Tuck Flap Box (18pt Card Stock, 112 x 37 x 37, MM) for Vitamin C Serum</t>
  </si>
  <si>
    <t>IFC-850026141672</t>
  </si>
  <si>
    <t>Tuck Flap Box (18pt Card Stock, 112 x 37 x 37, MM) for Detox Serum</t>
  </si>
  <si>
    <t>IFC-850026141689</t>
  </si>
  <si>
    <t>Tuck Flap Box (18pt Card Stock, 112 x 37 x 37, MM) for Hydrating Serum</t>
  </si>
  <si>
    <t>IFC-850026141696</t>
  </si>
  <si>
    <t>Tuck Flap Box (18pt Card Stock, 140 x 31 x 31, MM) for Lifting Eye Serum</t>
  </si>
  <si>
    <t>IFC-850026141702</t>
  </si>
  <si>
    <t>Tuck Flap Box (18pt Card Stock, 157 x 40 x 40, MM) for All Day Moisturizer</t>
  </si>
  <si>
    <t>IFC-850026141719</t>
  </si>
  <si>
    <t>Tuck Flap Box (18pt Card Stock, 157 x 40 x 40, MM) for Overnight Cream (Oily Skin)</t>
  </si>
  <si>
    <t>IFC-850026141726</t>
  </si>
  <si>
    <t>Tuck Flap Box (18pt Card Stock, 157 x 40 x 40, MM) for Overnight Cream (Dry Skin)</t>
  </si>
  <si>
    <t>IFC-850026141733</t>
  </si>
  <si>
    <t>Tuck Flap Box (18pt Card Stock, 157 x 40 x 40, MM) for Mattifying Potion</t>
  </si>
  <si>
    <t>IFC-850026141740</t>
  </si>
  <si>
    <t>Tuck Flap Box (18pt Card Stock, 69.5 x 33 x 33, MM) for Blemish Potion</t>
  </si>
  <si>
    <t>IFC-850026141757</t>
  </si>
  <si>
    <t>Tuck Flap Box (18pt Card Stock, 106 x 37 x 37, MM) for Glow Facial Oil</t>
  </si>
  <si>
    <t>IFC-850026141764</t>
  </si>
  <si>
    <t>Tuck Flap Box (18pt Card Stock, 151 x 43 x 43, MM) for Hydrating Detox Mask</t>
  </si>
  <si>
    <t>IFC-850026141771</t>
  </si>
  <si>
    <t>Tuck Flap Box (18pt Card Stock, 150.6 x 37 x 37, MM) for Overnight Mask</t>
  </si>
  <si>
    <t>IFC-850026141788</t>
  </si>
  <si>
    <t>Tuck Flap Box (18pt Card Stock, 35.5 x 73 x 73, MM) for Enzymatic Scrub</t>
  </si>
  <si>
    <t>IFC-850026141795</t>
  </si>
  <si>
    <t>Tuck Flap Box (18pt Card Stock, 140 x 45 x 45, MM) for Hydrating Mask</t>
  </si>
  <si>
    <t>IFC-850026141801</t>
  </si>
  <si>
    <t>Tuck Flap Box (18pt Card Stock, 94.5 x 19.5 x 19.5, MM) for Lip Plump Serum</t>
  </si>
  <si>
    <t>IFC-850026141955</t>
  </si>
  <si>
    <t>Tuck Flap Box (18pt Card Stock, 106 x 37 x 37, MM) for Retinol Serum</t>
  </si>
  <si>
    <t>Mio Inner</t>
  </si>
  <si>
    <t>3-pack Inner Box for MIO</t>
  </si>
  <si>
    <t>Mio Master</t>
  </si>
  <si>
    <t>Master Box For Mio</t>
  </si>
  <si>
    <t>Misc Refund</t>
  </si>
  <si>
    <t>MISC_EXP</t>
  </si>
  <si>
    <t>Miscellaneous Expense</t>
  </si>
  <si>
    <t>MISC_REFUND</t>
  </si>
  <si>
    <t>MISC_REFUND (non-inventory item)</t>
  </si>
  <si>
    <t>NOVABOX12PACK</t>
  </si>
  <si>
    <t>NOVA - Master Carton 12 Pack - Target</t>
  </si>
  <si>
    <t>PHYD-PACK</t>
  </si>
  <si>
    <t>Pore Perfecting Set</t>
  </si>
  <si>
    <t>PINK-PACK</t>
  </si>
  <si>
    <t>Pinks Beauty Pack</t>
  </si>
  <si>
    <t>PLUMPIT</t>
  </si>
  <si>
    <t>Plump It</t>
  </si>
  <si>
    <t>POREPERFECT</t>
  </si>
  <si>
    <t>Pore Perfection Bundle</t>
  </si>
  <si>
    <t>PPOW-PACK</t>
  </si>
  <si>
    <t>Pore Power Set</t>
  </si>
  <si>
    <t>RDWT-PACK</t>
  </si>
  <si>
    <t>The Coolest Bundle of All</t>
  </si>
  <si>
    <t>REFBOGO</t>
  </si>
  <si>
    <t>Sonic Refresher BOGO</t>
  </si>
  <si>
    <t>RENOILBOX</t>
  </si>
  <si>
    <t>RENEW ESSENTIAL OIL BOX COMPONENT</t>
  </si>
  <si>
    <t>RENOILCOMP</t>
  </si>
  <si>
    <t>RENEW ESSENTIAL OIL COMPONENT</t>
  </si>
  <si>
    <t>ROUTEINS11</t>
  </si>
  <si>
    <t>Route Shipping Insurance $1.15</t>
  </si>
  <si>
    <t>ROUTEINS12</t>
  </si>
  <si>
    <t>Route Shipping Insurance $1.35</t>
  </si>
  <si>
    <t>ROUTEINS13</t>
  </si>
  <si>
    <t>Route Shipping Insurance $1.55</t>
  </si>
  <si>
    <t>ROUTEINS14</t>
  </si>
  <si>
    <t>Route Shipping Insurance $1.75</t>
  </si>
  <si>
    <t>ROUTEINS15</t>
  </si>
  <si>
    <t>Route Shipping Insurance $1.95</t>
  </si>
  <si>
    <t>ROUTEINS16</t>
  </si>
  <si>
    <t>Route Shipping Insurance $2.15</t>
  </si>
  <si>
    <t>ROUTEINS17</t>
  </si>
  <si>
    <t>Route Shipping Insurance $2.35</t>
  </si>
  <si>
    <t>ROUTEINS18</t>
  </si>
  <si>
    <t>Route Shipping Insurance $2.55</t>
  </si>
  <si>
    <t>ROUTEINS19</t>
  </si>
  <si>
    <t>Route Shipping Insurance $2.75</t>
  </si>
  <si>
    <t>ROUTEINS20</t>
  </si>
  <si>
    <t>Route Shipping Insurance $2.95</t>
  </si>
  <si>
    <t>ROUTEINS21</t>
  </si>
  <si>
    <t>Route Shipping Insurance $3.15</t>
  </si>
  <si>
    <t>ROUTEINS22</t>
  </si>
  <si>
    <t>Route Shipping Insurance $3.35</t>
  </si>
  <si>
    <t>ROUTEINS23</t>
  </si>
  <si>
    <t>Route Shipping Insurance $3.55</t>
  </si>
  <si>
    <t>ROUTEINS24</t>
  </si>
  <si>
    <t>Route Shipping Insurance $3.75</t>
  </si>
  <si>
    <t>ROUTEINS25</t>
  </si>
  <si>
    <t>Route Shipping Insurance $3.95</t>
  </si>
  <si>
    <t>ROUTEINS26</t>
  </si>
  <si>
    <t>Route Shipping Insurance $4.15</t>
  </si>
  <si>
    <t>ROUTEINS27</t>
  </si>
  <si>
    <t>Route Shipping Insurance $4.35</t>
  </si>
  <si>
    <t>ROUTEINS28</t>
  </si>
  <si>
    <t>Route Shipping Insurance $4.55</t>
  </si>
  <si>
    <t>ROUTEINS29</t>
  </si>
  <si>
    <t>Route Shipping Insurance $4.75</t>
  </si>
  <si>
    <t>ROUTEINS30</t>
  </si>
  <si>
    <t>Route Shipping Insurance $4.95</t>
  </si>
  <si>
    <t>ROUTEINS31</t>
  </si>
  <si>
    <t>Route Shipping Insurance $5.15</t>
  </si>
  <si>
    <t>ROUTEINS32</t>
  </si>
  <si>
    <t>Route Shipping Insurance $5.35</t>
  </si>
  <si>
    <t>ROUTEINS33</t>
  </si>
  <si>
    <t>Route Shipping Insurance $5.55</t>
  </si>
  <si>
    <t>ROUTEINS34</t>
  </si>
  <si>
    <t>Route Shipping Insurance $5.75</t>
  </si>
  <si>
    <t>ROUTEINS35</t>
  </si>
  <si>
    <t>Route Shipping Insurance $5.95</t>
  </si>
  <si>
    <t>ROUTEINS36</t>
  </si>
  <si>
    <t>Route Shipping Insurance $6.15</t>
  </si>
  <si>
    <t>ROUTEINS37</t>
  </si>
  <si>
    <t>Route Shipping Insurance $6.35</t>
  </si>
  <si>
    <t>ROUTEINS38</t>
  </si>
  <si>
    <t>Route Shipping Insurance $6.55</t>
  </si>
  <si>
    <t>ROUTEINS39</t>
  </si>
  <si>
    <t>Route Shipping Insurance $6.75</t>
  </si>
  <si>
    <t>ROUTEINS40</t>
  </si>
  <si>
    <t>Route Shipping Insurance $6.95</t>
  </si>
  <si>
    <t>ROUTEINS41</t>
  </si>
  <si>
    <t>Route Shipping Insurance $7.15</t>
  </si>
  <si>
    <t>ROUTEINS42</t>
  </si>
  <si>
    <t>Route Shipping Insurance $7.35</t>
  </si>
  <si>
    <t>ROUTEINS43</t>
  </si>
  <si>
    <t>Route Shipping Insurance $7.55</t>
  </si>
  <si>
    <t>ROUTEINS44</t>
  </si>
  <si>
    <t>Route Shipping Insurance $7.75</t>
  </si>
  <si>
    <t>ROUTEINS45</t>
  </si>
  <si>
    <t>Route Shipping Insurance $7.95</t>
  </si>
  <si>
    <t>ROUTEINS46</t>
  </si>
  <si>
    <t>Route Shipping Insurance $8.15</t>
  </si>
  <si>
    <t>ROUTEINS47</t>
  </si>
  <si>
    <t>Route Shipping Insurance $8.35</t>
  </si>
  <si>
    <t>ROUTEINS48</t>
  </si>
  <si>
    <t>Route Shipping Insurance $8.55</t>
  </si>
  <si>
    <t>ROUTEINS49</t>
  </si>
  <si>
    <t>Route Shipping Insurance $8.75</t>
  </si>
  <si>
    <t>ROUTEINS50</t>
  </si>
  <si>
    <t>Route Shipping Insurance $8.95</t>
  </si>
  <si>
    <t>ROUTEINS51</t>
  </si>
  <si>
    <t>Route Shipping Insurance $9.38</t>
  </si>
  <si>
    <t>ROUTEINS52</t>
  </si>
  <si>
    <t>Route Shipping Insurance $10.03</t>
  </si>
  <si>
    <t>ROUTEINS54</t>
  </si>
  <si>
    <t>Route Shipping Insurance $11.33</t>
  </si>
  <si>
    <t>ROUTEINS55</t>
  </si>
  <si>
    <t>Route Shipping Insurance $11.98</t>
  </si>
  <si>
    <t>ROUTEINS56</t>
  </si>
  <si>
    <t>Route Shipping Insurance $12.63</t>
  </si>
  <si>
    <t>ROUTEINS57</t>
  </si>
  <si>
    <t>Route Shipping Insurance $13.28</t>
  </si>
  <si>
    <t>ROUTEINS60</t>
  </si>
  <si>
    <t>Route Shipping Insurance $15.23</t>
  </si>
  <si>
    <t>ROUTEINS61</t>
  </si>
  <si>
    <t>Route Shipping Insurance $15.88</t>
  </si>
  <si>
    <t>ROUTEINS62</t>
  </si>
  <si>
    <t>Route Shipping Insurance $16.53</t>
  </si>
  <si>
    <t>ROUTEINS69</t>
  </si>
  <si>
    <t>Route Shipping Insurance $24.38</t>
  </si>
  <si>
    <t>SBPROBOGO</t>
  </si>
  <si>
    <t>Sonicblend Pro BOGO</t>
  </si>
  <si>
    <t>SBTRIO</t>
  </si>
  <si>
    <t>Sonicblend + Accessories Set</t>
  </si>
  <si>
    <t>SEN-START</t>
  </si>
  <si>
    <t>Sensitive Skin Starter</t>
  </si>
  <si>
    <t>SH-10.58.56.75</t>
  </si>
  <si>
    <t>10.5x8.5x6.75 Shipping Box</t>
  </si>
  <si>
    <t>SH-10106</t>
  </si>
  <si>
    <t>10 X 10 X 6 Shipping Box</t>
  </si>
  <si>
    <t>SH-10108</t>
  </si>
  <si>
    <t>10 X 10 X 8 Shipping Box</t>
  </si>
  <si>
    <t>SH-105.57</t>
  </si>
  <si>
    <t>10 X 5.5 X 7 Shipping Box</t>
  </si>
  <si>
    <t>SH-1075</t>
  </si>
  <si>
    <t>10 X 7 X 5 Shipping Box</t>
  </si>
  <si>
    <t>SH-1079</t>
  </si>
  <si>
    <t>10 X 7 X 9 Shipping Box</t>
  </si>
  <si>
    <t>SH-12105</t>
  </si>
  <si>
    <t>12 X 10 X 5 Shipping Box</t>
  </si>
  <si>
    <t>SH-12128</t>
  </si>
  <si>
    <t>12 X 12 X 8 replacement boxes</t>
  </si>
  <si>
    <t>SH-1285</t>
  </si>
  <si>
    <t>12 X 8 X 5 Shipping Box Nova inners of 3</t>
  </si>
  <si>
    <t>SH-1298</t>
  </si>
  <si>
    <t>12 X 9 X 8 Isla General Master Box</t>
  </si>
  <si>
    <t>SH-132575375</t>
  </si>
  <si>
    <t>13.25 X 7.5 X 3.75 Shipping Box (INNER LEXI WM)</t>
  </si>
  <si>
    <t>SH-1396</t>
  </si>
  <si>
    <t>13 X 9 X 6 Shipping Box</t>
  </si>
  <si>
    <t>SH-1499</t>
  </si>
  <si>
    <t>14.25 X 9.25 X 9.25 Shipping Box Nera Master Box of Six</t>
  </si>
  <si>
    <t>SH-151111</t>
  </si>
  <si>
    <t>15 X 11 X 11 Shipping Box Sima Repack Box</t>
  </si>
  <si>
    <t>SH-151210</t>
  </si>
  <si>
    <t>15 X 12 X 10.5 Shipping Box</t>
  </si>
  <si>
    <t>SH-161210</t>
  </si>
  <si>
    <t>16 X 12 X 10 Shipping Box</t>
  </si>
  <si>
    <t>SH-16149</t>
  </si>
  <si>
    <t>16 X 14 X 9 Shipping Box (MASTER WM LEXI)</t>
  </si>
  <si>
    <t>SH-1666</t>
  </si>
  <si>
    <t>16 X 6 X 6 Shipping Box</t>
  </si>
  <si>
    <t>SH-1685</t>
  </si>
  <si>
    <t>16 X 8 X 5 Shipping Box</t>
  </si>
  <si>
    <t>SH-1688</t>
  </si>
  <si>
    <t>16 X 8 X 8 Shipping Box</t>
  </si>
  <si>
    <t>SH-171313</t>
  </si>
  <si>
    <t>17 X 13 X 13 Shipping Box Nova Master Box</t>
  </si>
  <si>
    <t>SH-18186</t>
  </si>
  <si>
    <t>18 X 18 X 6 Shipping Box</t>
  </si>
  <si>
    <t>SH-1866</t>
  </si>
  <si>
    <t>18 X 6 X 6 Shipping Box</t>
  </si>
  <si>
    <t>SH-1886</t>
  </si>
  <si>
    <t>17.625 X 8.25 X 6.125 Inner Box For Vara</t>
  </si>
  <si>
    <t>SH-191721</t>
  </si>
  <si>
    <t>18.125 X 17.25 X 20.625 Master Box For Vara</t>
  </si>
  <si>
    <t>SH-200ML-INNER</t>
  </si>
  <si>
    <t>Partition for 200ml Skin Care</t>
  </si>
  <si>
    <t>SH-200ML-MASTER</t>
  </si>
  <si>
    <t>Master Carton for 200ml Skin Care</t>
  </si>
  <si>
    <t>SH-201616</t>
  </si>
  <si>
    <t>20 X 16 X 16 Prima Master Case</t>
  </si>
  <si>
    <t>SH-221812</t>
  </si>
  <si>
    <t>22 X 18 X 12 Shipping Box</t>
  </si>
  <si>
    <t>SH-221816</t>
  </si>
  <si>
    <t>22 X 18 X 16 Shipping Box</t>
  </si>
  <si>
    <t>SH-24166</t>
  </si>
  <si>
    <t>24 X 16 X 6 Shipping Box</t>
  </si>
  <si>
    <t>SH-242424</t>
  </si>
  <si>
    <t>24 X 24 X 24 Shipping Box</t>
  </si>
  <si>
    <t>SH-422925</t>
  </si>
  <si>
    <t>42 X 29 X 25.5 Shipping Box</t>
  </si>
  <si>
    <t>SH-444</t>
  </si>
  <si>
    <t>4 X 4 X 4 Shipping Box</t>
  </si>
  <si>
    <t>SH-644</t>
  </si>
  <si>
    <t>6 X 4 X 4 Shipping Box</t>
  </si>
  <si>
    <t>SH-758</t>
  </si>
  <si>
    <t>7.5x4.75x7.75 Shipping Box</t>
  </si>
  <si>
    <t>SH-811573031496</t>
  </si>
  <si>
    <t>Master SONICSMOOTH DERMAGLOW - 48 pcs</t>
  </si>
  <si>
    <t>SH-844</t>
  </si>
  <si>
    <t>8 X 4 X 4 Shipping Box</t>
  </si>
  <si>
    <t>SH-850026141634</t>
  </si>
  <si>
    <t>Master Case Lipid Cleanser - 48 pcs - 202 x 101 x 152 mm</t>
  </si>
  <si>
    <t>SH-850026141696</t>
  </si>
  <si>
    <t>Master Case Lifting Eye Serum - 48 pcs - 210 x 140 x 158 mm</t>
  </si>
  <si>
    <t>SH-864</t>
  </si>
  <si>
    <t>8 X 6 X 4 Shipping Box</t>
  </si>
  <si>
    <t>SH-866</t>
  </si>
  <si>
    <t>8 X 6 X 6 Shipping Box</t>
  </si>
  <si>
    <t>SH-886</t>
  </si>
  <si>
    <t>8 X 8 X 6 Shipping Box</t>
  </si>
  <si>
    <t>SH-954</t>
  </si>
  <si>
    <t>9 X 5 X 4 Shipping Box</t>
  </si>
  <si>
    <t>SH-963</t>
  </si>
  <si>
    <t>9 X 6 X 3 Shipping Box</t>
  </si>
  <si>
    <t>SH-976</t>
  </si>
  <si>
    <t>9 X 7 X 6 Shipping Box</t>
  </si>
  <si>
    <t>SH-999</t>
  </si>
  <si>
    <t>9 X 9 X 9 Shipping Box</t>
  </si>
  <si>
    <t>SH-MIO INNER</t>
  </si>
  <si>
    <t>7 7/8* 7 3/8* 4 5/8 Mio Inner</t>
  </si>
  <si>
    <t>SH-MIO MASTER</t>
  </si>
  <si>
    <t>16 5/8*7 13/16*10 3/4 Shipping Box Mio Master</t>
  </si>
  <si>
    <t>SH-Purple #2 Mailers</t>
  </si>
  <si>
    <t>8.5x12 Bubble Mailer 100 count</t>
  </si>
  <si>
    <t>SILKY-SMOOTH</t>
  </si>
  <si>
    <t>Silky Smooth</t>
  </si>
  <si>
    <t>SIMA-PACK</t>
  </si>
  <si>
    <t>SIMA Super Bundle</t>
  </si>
  <si>
    <t>SIMADELUXEGR</t>
  </si>
  <si>
    <t>Sima Deluxe Dermaplanning Green</t>
  </si>
  <si>
    <t>SIMADELUXEPK</t>
  </si>
  <si>
    <t>Sima Deluxe Dermaplanning Pink</t>
  </si>
  <si>
    <t>SIMADELUXEWHT</t>
  </si>
  <si>
    <t>Sima Deluxe Dermaplanning White</t>
  </si>
  <si>
    <t>SIMADLXKIT</t>
  </si>
  <si>
    <t>Sima Deluxe Dermaplaning Kit Green</t>
  </si>
  <si>
    <t>SIMADLXKITPNK</t>
  </si>
  <si>
    <t>Sima Deluxe Dermaplaning Kit Pink</t>
  </si>
  <si>
    <t>SIMADLXKITWHT</t>
  </si>
  <si>
    <t>Sima Deluxe Dermaplaning Kit White</t>
  </si>
  <si>
    <t>SIMAPOSTTREAT</t>
  </si>
  <si>
    <t>Sima Post Treatment Bundle</t>
  </si>
  <si>
    <t>SIMAPRETREAT</t>
  </si>
  <si>
    <t>Sima Pre Treatment Bundle</t>
  </si>
  <si>
    <t>SOFSOC</t>
  </si>
  <si>
    <t>So Fresh So Clean Bundle</t>
  </si>
  <si>
    <t>SS-PACK</t>
  </si>
  <si>
    <t>Serum Stack Pack</t>
  </si>
  <si>
    <t>SUPER-CLEANSER</t>
  </si>
  <si>
    <t>Super Cleanser</t>
  </si>
  <si>
    <t>TBOT-PACK</t>
  </si>
  <si>
    <t>Soft &amp; Smooth Set</t>
  </si>
  <si>
    <t>Name</t>
  </si>
  <si>
    <t>Address</t>
  </si>
  <si>
    <t>City</t>
  </si>
  <si>
    <t>Phone</t>
  </si>
  <si>
    <t>Code</t>
  </si>
  <si>
    <t>Contact</t>
  </si>
  <si>
    <t>86-13486073743</t>
  </si>
  <si>
    <t>Phone #</t>
  </si>
  <si>
    <t>584 University Blvd., Suite 600 Port St. Lucie, FL 34986</t>
  </si>
  <si>
    <t>[Enter Phone]</t>
  </si>
  <si>
    <t>[Enter Contact Email]</t>
  </si>
  <si>
    <t>[Enter NasaFresh MD Address]</t>
  </si>
  <si>
    <t>▶  GENERATE PPO</t>
  </si>
  <si>
    <t>After generating: Ctrl+P → Save as PDF to export</t>
  </si>
  <si>
    <t>Telephone Number: Telephone Number: 86-13486073743</t>
  </si>
  <si>
    <t>Net Weight:</t>
  </si>
  <si>
    <t>Telephone Number: [auto-filled]</t>
  </si>
  <si>
    <t>Telephone Number: Telephone Number: Telephone Number: 86-13486073743</t>
  </si>
  <si>
    <t>PPO 3148 saved - 4/3/2026 9:11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</si>
</sst>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quot;#,##0.00"/>
    <numFmt numFmtId="165" formatCode="_(&quot;$&quot;* #,##0.00_);_(&quot;$&quot;* \(#,##0.00\);&quot;&quot;"/>
    <numFmt numFmtId="166" formatCode="%* #,##0.00_);"/>
    <numFmt numFmtId="167" formatCode="#,##0.00\ &quot;kg&quot;"/>
    <numFmt numFmtId="168" formatCode="0\ &quot;days&quot;"/>
    <numFmt numFmtId="169" formatCode="mm/dd/yyyy"/>
    <numFmt numFmtId="170" formatCode="0.000"/>
  </numFmts>
  <fonts count="48">
    <font>
      <sz val="11"/>
      <color theme="1"/>
      <name val="Aptos Narrow"/>
      <family val="2"/>
      <scheme val="minor"/>
    </font>
    <font>
      <b/>
      <sz val="11"/>
      <color theme="1"/>
      <name val="Aptos Narrow"/>
      <family val="2"/>
      <scheme val="minor"/>
    </font>
    <font>
      <sz val="10"/>
      <name val="Arial"/>
      <family val="2"/>
    </font>
    <font>
      <b/>
      <sz val="10"/>
      <color rgb="FFFFFFFF"/>
      <name val="Arial"/>
      <family val="2"/>
    </font>
    <font>
      <b/>
      <sz val="10"/>
      <color indexed="9"/>
      <name val="Arial"/>
      <family val="2"/>
    </font>
    <font>
      <b/>
      <sz val="10"/>
      <color indexed="55"/>
      <name val="Arial"/>
      <family val="2"/>
    </font>
    <font>
      <b/>
      <sz val="10"/>
      <color indexed="18"/>
      <name val="Arial"/>
      <family val="2"/>
    </font>
    <font>
      <b/>
      <i/>
      <sz val="10"/>
      <color indexed="18"/>
      <name val="Audiowide"/>
      <charset val="134"/>
    </font>
    <font>
      <b/>
      <sz val="16"/>
      <color theme="1"/>
      <name val="Arial"/>
      <family val="2"/>
    </font>
    <font>
      <b/>
      <sz val="10"/>
      <name val="Arial"/>
      <family val="2"/>
    </font>
    <font>
      <sz val="10"/>
      <color indexed="18"/>
      <name val="Arial"/>
      <family val="2"/>
    </font>
    <font>
      <sz val="10"/>
      <color theme="1"/>
      <name val="Arial"/>
      <family val="2"/>
    </font>
    <font>
      <u/>
      <sz val="10"/>
      <color theme="10"/>
      <name val="Arial"/>
      <family val="2"/>
    </font>
    <font>
      <sz val="11"/>
      <color rgb="FF000000"/>
      <name val="Arial"/>
      <family val="2"/>
    </font>
    <font>
      <b/>
      <sz val="16"/>
      <color rgb="FFFFFFFF"/>
      <name val="Aptos Narrow"/>
      <family val="2"/>
      <scheme val="minor"/>
    </font>
    <font>
      <b/>
      <sz val="11"/>
      <color rgb="FFFFFFFF"/>
      <name val="Aptos Narrow"/>
      <family val="2"/>
      <scheme val="minor"/>
    </font>
    <font>
      <sz val="11"/>
      <color rgb="FF000000"/>
      <name val="Aptos Narrow"/>
      <family val="2"/>
      <scheme val="minor"/>
    </font>
    <font>
      <b/>
      <sz val="11"/>
      <color rgb="FF000000"/>
      <name val="Aptos Narrow"/>
      <family val="2"/>
      <scheme val="minor"/>
    </font>
    <font>
      <i/>
      <sz val="11"/>
      <color rgb="FF969696"/>
      <name val="Aptos Narrow"/>
      <family val="2"/>
      <scheme val="minor"/>
    </font>
    <font>
      <b/>
      <sz val="18"/>
      <color rgb="FFFFFFFF"/>
      <name val="Aptos Narrow"/>
      <family val="2"/>
      <scheme val="minor"/>
    </font>
    <font>
      <i/>
      <sz val="10"/>
      <color rgb="FF004269"/>
      <name val="Aptos Narrow"/>
      <family val="2"/>
      <scheme val="minor"/>
    </font>
    <font>
      <b/>
      <sz val="11"/>
      <color rgb="FF004269"/>
      <name val="Aptos Narrow"/>
      <family val="2"/>
      <scheme val="minor"/>
    </font>
    <font>
      <sz val="11"/>
      <color rgb="FF0000FF"/>
      <name val="Aptos Narrow"/>
      <family val="2"/>
      <scheme val="minor"/>
    </font>
    <font>
      <b/>
      <sz val="14"/>
      <color rgb="FF0000FF"/>
      <name val="Aptos Narrow"/>
      <family val="2"/>
      <scheme val="minor"/>
    </font>
    <font>
      <b/>
      <sz val="11"/>
      <color rgb="FF0000FF"/>
      <name val="Aptos Narrow"/>
      <family val="2"/>
      <scheme val="minor"/>
    </font>
    <font>
      <sz val="11"/>
      <color rgb="FF008000"/>
      <name val="Aptos Narrow"/>
      <family val="2"/>
      <scheme val="minor"/>
    </font>
    <font>
      <i/>
      <sz val="9"/>
      <color rgb="FF969696"/>
      <name val="Aptos Narrow"/>
      <family val="2"/>
      <scheme val="minor"/>
    </font>
    <font>
      <b/>
      <sz val="12"/>
      <color rgb="FFFFFFFF"/>
      <name val="Aptos Narrow"/>
      <family val="2"/>
      <scheme val="minor"/>
    </font>
    <font>
      <b/>
      <sz val="11"/>
      <color rgb="FF008000"/>
      <name val="Aptos Narrow"/>
      <family val="2"/>
      <scheme val="minor"/>
    </font>
    <font>
      <i/>
      <sz val="11"/>
      <color rgb="FFFF6600"/>
      <name val="Aptos Narrow"/>
      <family val="2"/>
      <scheme val="minor"/>
    </font>
    <font>
      <sz val="9"/>
      <color theme="1"/>
      <name val="Courier New"/>
      <family val="3"/>
    </font>
    <font>
      <b/>
      <sz val="9"/>
      <color rgb="FFFFFFFF"/>
      <name val="Aptos Narrow"/>
      <family val="2"/>
      <scheme val="minor"/>
    </font>
    <font>
      <sz val="10"/>
      <color rgb="FF008000"/>
      <name val="Aptos Narrow"/>
      <family val="2"/>
      <scheme val="minor"/>
    </font>
    <font>
      <b/>
      <sz val="11"/>
      <color rgb="FF000000"/>
      <name val="Aptos Narrow"/>
      <family val="2"/>
      <scheme val="minor"/>
    </font>
    <font>
      <sz val="9"/>
      <color rgb="FF0000FF"/>
      <name val="Arial"/>
      <family val="2"/>
    </font>
    <font>
      <sz val="11"/>
      <color rgb="FF008000"/>
      <name val="Aptos Narrow"/>
      <family val="2"/>
    </font>
    <font>
      <b/>
      <sz val="13"/>
      <color rgb="FFFFFFFF"/>
      <name val="Aptos Narrow"/>
      <family val="2"/>
      <scheme val="minor"/>
    </font>
    <font>
      <b/>
      <i/>
      <u/>
      <sz val="22"/>
      <name val="Audiowide"/>
      <charset val="134"/>
    </font>
    <font>
      <b/>
      <sz val="11"/>
      <color rgb="FFFFFFFF"/>
      <name val="Arial"/>
      <family val="2"/>
    </font>
    <font>
      <sz val="11"/>
      <name val="Arial"/>
      <family val="2"/>
    </font>
    <font>
      <sz val="11"/>
      <color theme="1"/>
      <name val="Arial"/>
      <family val="2"/>
    </font>
    <font>
      <sz val="11"/>
      <color rgb="FF0000FF"/>
      <name val="Arial"/>
      <family val="2"/>
    </font>
    <font>
      <b/>
      <sz val="11"/>
      <name val="Arial"/>
      <family val="2"/>
    </font>
    <font>
      <sz val="11"/>
      <color indexed="18"/>
      <name val="Arial"/>
      <family val="2"/>
    </font>
    <font>
      <sz val="10"/>
      <color rgb="FF666666"/>
      <name val="Arial"/>
      <family val="2"/>
    </font>
    <font>
      <b/>
      <sz val="10"/>
      <color rgb="FF666666"/>
      <name val="Arial"/>
      <family val="2"/>
    </font>
    <font>
      <u/>
      <sz val="10"/>
      <color rgb="FF666666"/>
      <name val="Arial"/>
      <family val="2"/>
    </font>
    <font>
      <sz val="10"/>
      <color rgb="FF0000FF"/>
      <name val="Arial"/>
      <family val="2"/>
    </font>
  </fonts>
  <fills count="15">
    <fill>
      <patternFill patternType="none"/>
    </fill>
    <fill>
      <patternFill patternType="gray125"/>
    </fill>
    <fill>
      <patternFill patternType="solid">
        <fgColor rgb="FF004269"/>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FFFF00"/>
        <bgColor indexed="64"/>
      </patternFill>
    </fill>
    <fill>
      <patternFill patternType="solid">
        <fgColor rgb="FFFF6600"/>
        <bgColor indexed="64"/>
      </patternFill>
    </fill>
    <fill>
      <patternFill patternType="solid">
        <fgColor rgb="FFF0FFF0"/>
        <bgColor indexed="64"/>
      </patternFill>
    </fill>
    <fill>
      <patternFill patternType="solid">
        <fgColor rgb="FFBDD7EE"/>
        <bgColor rgb="FFDEEAF1"/>
      </patternFill>
    </fill>
    <fill>
      <patternFill patternType="solid">
        <fgColor rgb="FFD9E8F0"/>
        <bgColor indexed="64"/>
      </patternFill>
    </fill>
    <fill>
      <patternFill patternType="solid">
        <fgColor rgb="FFF2F2F2"/>
        <bgColor indexed="64"/>
      </patternFill>
    </fill>
    <fill>
      <patternFill patternType="solid">
        <fgColor rgb="FF1F6B3A"/>
        <bgColor indexed="64"/>
      </patternFill>
    </fill>
    <fill>
      <patternFill patternType="solid">
        <fgColor rgb="FFB8860B"/>
        <bgColor indexed="64"/>
      </patternFill>
    </fill>
    <fill>
      <patternFill patternType="solid">
        <fgColor rgb="FFFFFFFF"/>
        <bgColor rgb="FFF0F8FF"/>
      </patternFill>
    </fill>
  </fills>
  <borders count="6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style="thin">
        <color auto="1"/>
      </right>
      <top style="thin">
        <color auto="1"/>
      </top>
      <bottom style="thin">
        <color auto="1"/>
      </bottom>
      <diagonal/>
    </border>
    <border>
      <left style="thin">
        <color indexed="64"/>
      </left>
      <right/>
      <top/>
      <bottom/>
      <diagonal/>
    </border>
    <border>
      <left style="medium">
        <color indexed="64"/>
      </left>
      <right style="thin">
        <color auto="1"/>
      </right>
      <top style="thin">
        <color indexed="55"/>
      </top>
      <bottom style="thin">
        <color auto="1"/>
      </bottom>
      <diagonal/>
    </border>
    <border>
      <left style="thin">
        <color auto="1"/>
      </left>
      <right style="thin">
        <color auto="1"/>
      </right>
      <top style="thin">
        <color indexed="55"/>
      </top>
      <bottom style="thin">
        <color auto="1"/>
      </bottom>
      <diagonal/>
    </border>
    <border>
      <left style="medium">
        <color indexed="64"/>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55"/>
      </left>
      <right style="thin">
        <color auto="1"/>
      </right>
      <top style="thin">
        <color auto="1"/>
      </top>
      <bottom style="thin">
        <color auto="1"/>
      </bottom>
      <diagonal/>
    </border>
    <border>
      <left style="medium">
        <color indexed="64"/>
      </left>
      <right style="thin">
        <color auto="1"/>
      </right>
      <top style="thin">
        <color auto="1"/>
      </top>
      <bottom style="thin">
        <color theme="0" tint="-0.24994659260841701"/>
      </bottom>
      <diagonal/>
    </border>
    <border>
      <left/>
      <right style="thin">
        <color indexed="55"/>
      </right>
      <top/>
      <bottom/>
      <diagonal/>
    </border>
    <border>
      <left style="thin">
        <color theme="0" tint="-0.24994659260841701"/>
      </left>
      <right/>
      <top/>
      <bottom/>
      <diagonal/>
    </border>
    <border>
      <left style="medium">
        <color indexed="64"/>
      </left>
      <right/>
      <top/>
      <bottom style="thin">
        <color indexed="55"/>
      </bottom>
      <diagonal/>
    </border>
    <border>
      <left/>
      <right/>
      <top/>
      <bottom style="thin">
        <color indexed="55"/>
      </bottom>
      <diagonal/>
    </border>
    <border>
      <left/>
      <right style="thin">
        <color indexed="55"/>
      </right>
      <top/>
      <bottom style="thin">
        <color indexed="55"/>
      </bottom>
      <diagonal/>
    </border>
    <border>
      <left/>
      <right/>
      <top style="thin">
        <color indexed="55"/>
      </top>
      <bottom/>
      <diagonal/>
    </border>
    <border>
      <left/>
      <right style="thin">
        <color indexed="55"/>
      </right>
      <top style="thin">
        <color indexed="55"/>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top/>
      <bottom style="thin">
        <color theme="0" tint="-0.24994659260841701"/>
      </bottom>
      <diagonal/>
    </border>
    <border>
      <left style="thin">
        <color auto="1"/>
      </left>
      <right style="medium">
        <color indexed="64"/>
      </right>
      <top style="thin">
        <color indexed="55"/>
      </top>
      <bottom style="thin">
        <color auto="1"/>
      </bottom>
      <diagonal/>
    </border>
    <border>
      <left style="thin">
        <color indexed="55"/>
      </left>
      <right style="medium">
        <color indexed="64"/>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indexed="55"/>
      </top>
      <bottom/>
      <diagonal/>
    </border>
    <border>
      <left/>
      <right style="medium">
        <color indexed="64"/>
      </right>
      <top/>
      <bottom style="thin">
        <color indexed="55"/>
      </bottom>
      <diagonal/>
    </border>
    <border>
      <left/>
      <right style="medium">
        <color indexed="64"/>
      </right>
      <top style="thin">
        <color auto="1"/>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style="thin">
        <color indexed="64"/>
      </bottom>
      <diagonal/>
    </border>
    <border>
      <left style="thin">
        <color rgb="FFBFBFBF"/>
      </left>
      <right style="thin">
        <color rgb="FFBFBFBF"/>
      </right>
      <top style="thin">
        <color rgb="FFBFBFBF"/>
      </top>
      <bottom style="thin">
        <color rgb="FFBFBFBF"/>
      </bottom>
      <diagonal/>
    </border>
    <border>
      <left style="medium">
        <color indexed="64"/>
      </left>
      <right style="medium">
        <color indexed="64"/>
      </right>
      <top/>
      <bottom/>
      <diagonal/>
    </border>
    <border>
      <left/>
      <right/>
      <top style="thin">
        <color auto="1"/>
      </top>
      <bottom/>
      <diagonal/>
    </border>
    <border>
      <left/>
      <right style="thin">
        <color auto="1"/>
      </right>
      <top style="thin">
        <color auto="1"/>
      </top>
      <bottom/>
      <diagonal/>
    </border>
    <border>
      <left style="medium">
        <color indexed="64"/>
      </left>
      <right style="thin">
        <color indexed="55"/>
      </right>
      <top/>
      <bottom/>
      <diagonal/>
    </border>
    <border>
      <left style="medium">
        <color indexed="64"/>
      </left>
      <right style="thin">
        <color indexed="55"/>
      </right>
      <top/>
      <bottom style="thin">
        <color indexed="55"/>
      </bottom>
      <diagonal/>
    </border>
    <border>
      <left style="medium">
        <color indexed="64"/>
      </left>
      <right style="thin">
        <color indexed="55"/>
      </right>
      <top style="thin">
        <color indexed="55"/>
      </top>
      <bottom style="thin">
        <color indexed="55"/>
      </bottom>
      <diagonal/>
    </border>
    <border>
      <left/>
      <right/>
      <top style="thin">
        <color auto="1"/>
      </top>
      <bottom style="thin">
        <color theme="0" tint="-0.24994659260841701"/>
      </bottom>
      <diagonal/>
    </border>
    <border>
      <left/>
      <right style="thin">
        <color auto="1"/>
      </right>
      <top style="thin">
        <color auto="1"/>
      </top>
      <bottom style="thin">
        <color theme="0" tint="-0.24994659260841701"/>
      </bottom>
      <diagonal/>
    </border>
    <border>
      <left/>
      <right/>
      <top style="thin">
        <color indexed="55"/>
      </top>
      <bottom style="thin">
        <color auto="1"/>
      </bottom>
      <diagonal/>
    </border>
    <border>
      <left/>
      <right style="thin">
        <color auto="1"/>
      </right>
      <top style="thin">
        <color indexed="55"/>
      </top>
      <bottom style="thin">
        <color auto="1"/>
      </bottom>
      <diagonal/>
    </border>
    <border>
      <left/>
      <right/>
      <top/>
      <bottom style="medium">
        <color rgb="FF004269"/>
      </bottom>
      <diagonal/>
    </border>
    <border>
      <left style="medium">
        <color rgb="FF1F6B3A"/>
      </left>
      <right/>
      <top style="medium">
        <color rgb="FF1F6B3A"/>
      </top>
      <bottom style="medium">
        <color rgb="FF1F6B3A"/>
      </bottom>
      <diagonal/>
    </border>
    <border>
      <left style="medium">
        <color rgb="FFB8860B"/>
      </left>
      <right style="medium">
        <color rgb="FFB8860B"/>
      </right>
      <top style="medium">
        <color rgb="FFB8860B"/>
      </top>
      <bottom style="medium">
        <color rgb="FFB8860B"/>
      </bottom>
      <diagonal/>
    </border>
  </borders>
  <cellStyleXfs count="3">
    <xf numFmtId="0" fontId="0" fillId="0" borderId="0"/>
    <xf numFmtId="0" fontId="2" fillId="0" borderId="0"/>
    <xf numFmtId="0" fontId="12" fillId="0" borderId="0"/>
  </cellStyleXfs>
  <cellXfs count="297">
    <xf numFmtId="0" fontId="0" fillId="0" borderId="0" xfId="0"/>
    <xf numFmtId="0" fontId="8" fillId="3" borderId="4" xfId="1" applyFont="1" applyFill="1" applyBorder="1" applyAlignment="1" applyProtection="1">
      <alignment vertical="center"/>
      <protection locked="0"/>
    </xf>
    <xf numFmtId="0" fontId="2" fillId="0" borderId="5" xfId="1" applyBorder="1" applyProtection="1">
      <protection locked="0"/>
    </xf>
    <xf numFmtId="0" fontId="2" fillId="0" borderId="4" xfId="1" applyBorder="1" applyAlignment="1">
      <alignment horizontal="left" vertical="center" indent="1"/>
    </xf>
    <xf numFmtId="0" fontId="2" fillId="0" borderId="4" xfId="1" applyBorder="1" applyAlignment="1" applyProtection="1">
      <alignment vertical="center"/>
      <protection locked="0"/>
    </xf>
    <xf numFmtId="0" fontId="13" fillId="4" borderId="6" xfId="0" applyFont="1" applyFill="1" applyBorder="1" applyAlignment="1" applyProtection="1">
      <alignment horizontal="center"/>
      <protection locked="0"/>
    </xf>
    <xf numFmtId="0" fontId="4" fillId="0" borderId="4" xfId="1" applyFont="1" applyBorder="1" applyProtection="1">
      <protection locked="0"/>
    </xf>
    <xf numFmtId="0" fontId="2" fillId="0" borderId="21" xfId="1" applyBorder="1" applyAlignment="1" applyProtection="1">
      <alignment horizontal="left" vertical="top"/>
      <protection locked="0"/>
    </xf>
    <xf numFmtId="0" fontId="2" fillId="0" borderId="19" xfId="1" applyBorder="1" applyAlignment="1" applyProtection="1">
      <alignment horizontal="left" vertical="top"/>
      <protection locked="0"/>
    </xf>
    <xf numFmtId="0" fontId="2" fillId="0" borderId="4" xfId="1" applyBorder="1" applyAlignment="1" applyProtection="1">
      <alignment horizontal="left" vertical="top"/>
      <protection locked="0"/>
    </xf>
    <xf numFmtId="0" fontId="2" fillId="0" borderId="23" xfId="1" applyBorder="1" applyProtection="1">
      <protection locked="0"/>
    </xf>
    <xf numFmtId="0" fontId="2" fillId="0" borderId="24" xfId="1" applyBorder="1" applyProtection="1">
      <protection locked="0"/>
    </xf>
    <xf numFmtId="1" fontId="2" fillId="0" borderId="24" xfId="1" applyNumberFormat="1" applyBorder="1" applyProtection="1">
      <protection locked="0"/>
    </xf>
    <xf numFmtId="0" fontId="2" fillId="0" borderId="25" xfId="1" applyBorder="1" applyProtection="1">
      <protection locked="0"/>
    </xf>
    <xf numFmtId="0" fontId="2" fillId="0" borderId="4" xfId="1" applyBorder="1" applyAlignment="1" applyProtection="1">
      <alignment vertical="top"/>
      <protection locked="0"/>
    </xf>
    <xf numFmtId="0" fontId="2" fillId="0" borderId="0" xfId="1" applyProtection="1">
      <protection locked="0"/>
    </xf>
    <xf numFmtId="0" fontId="2" fillId="0" borderId="7" xfId="1" applyBorder="1" applyAlignment="1" applyProtection="1">
      <alignment vertical="center"/>
      <protection locked="0"/>
    </xf>
    <xf numFmtId="0" fontId="2" fillId="0" borderId="4" xfId="1" applyBorder="1" applyAlignment="1">
      <alignment horizontal="right" vertical="center" indent="1"/>
    </xf>
    <xf numFmtId="0" fontId="0" fillId="0" borderId="0" xfId="0" applyAlignment="1">
      <alignment horizontal="center"/>
    </xf>
    <xf numFmtId="0" fontId="2" fillId="0" borderId="0" xfId="1" applyAlignment="1">
      <alignment vertical="center"/>
    </xf>
    <xf numFmtId="0" fontId="2" fillId="0" borderId="0" xfId="1" applyAlignment="1">
      <alignment horizontal="right" vertical="center"/>
    </xf>
    <xf numFmtId="0" fontId="2" fillId="0" borderId="0" xfId="1" applyAlignment="1" applyProtection="1">
      <alignment vertical="center"/>
      <protection locked="0"/>
    </xf>
    <xf numFmtId="0" fontId="4" fillId="0" borderId="28" xfId="1" applyFont="1" applyBorder="1"/>
    <xf numFmtId="0" fontId="2" fillId="0" borderId="0" xfId="1" applyAlignment="1">
      <alignment horizontal="left" vertical="center"/>
    </xf>
    <xf numFmtId="0" fontId="2" fillId="0" borderId="0" xfId="1" applyAlignment="1">
      <alignment horizontal="left" vertical="center" indent="1"/>
    </xf>
    <xf numFmtId="0" fontId="5" fillId="0" borderId="0" xfId="1" applyFont="1" applyAlignment="1">
      <alignment vertical="center"/>
    </xf>
    <xf numFmtId="0" fontId="6" fillId="0" borderId="0" xfId="1" applyFont="1" applyAlignment="1">
      <alignment vertical="center"/>
    </xf>
    <xf numFmtId="0" fontId="7" fillId="0" borderId="0" xfId="1" applyFont="1" applyAlignment="1">
      <alignment vertical="center"/>
    </xf>
    <xf numFmtId="0" fontId="7" fillId="0" borderId="5" xfId="1" applyFont="1" applyBorder="1" applyAlignment="1">
      <alignment vertical="center"/>
    </xf>
    <xf numFmtId="1" fontId="2" fillId="0" borderId="0" xfId="1" applyNumberFormat="1" applyProtection="1">
      <protection locked="0"/>
    </xf>
    <xf numFmtId="0" fontId="5" fillId="0" borderId="0" xfId="1" applyFont="1" applyAlignment="1" applyProtection="1">
      <alignment vertical="top"/>
      <protection locked="0"/>
    </xf>
    <xf numFmtId="0" fontId="5" fillId="0" borderId="0" xfId="1" applyFont="1" applyAlignment="1" applyProtection="1">
      <alignment vertical="center"/>
      <protection locked="0"/>
    </xf>
    <xf numFmtId="0" fontId="2" fillId="0" borderId="5" xfId="1" applyBorder="1" applyAlignment="1" applyProtection="1">
      <alignment vertical="center"/>
      <protection locked="0"/>
    </xf>
    <xf numFmtId="0" fontId="2" fillId="0" borderId="0" xfId="1" applyAlignment="1" applyProtection="1">
      <alignment vertical="top"/>
      <protection locked="0"/>
    </xf>
    <xf numFmtId="0" fontId="10" fillId="0" borderId="0" xfId="1" applyFont="1" applyProtection="1">
      <protection locked="0"/>
    </xf>
    <xf numFmtId="1" fontId="10" fillId="0" borderId="0" xfId="1" applyNumberFormat="1" applyFont="1" applyProtection="1">
      <protection locked="0"/>
    </xf>
    <xf numFmtId="0" fontId="4" fillId="0" borderId="0" xfId="1" applyFont="1" applyProtection="1">
      <protection locked="0"/>
    </xf>
    <xf numFmtId="1" fontId="2" fillId="0" borderId="0" xfId="1" applyNumberFormat="1" applyAlignment="1">
      <alignment vertical="center"/>
    </xf>
    <xf numFmtId="0" fontId="2" fillId="0" borderId="0" xfId="1" applyAlignment="1">
      <alignment horizontal="left" vertical="top"/>
    </xf>
    <xf numFmtId="1" fontId="5" fillId="0" borderId="0" xfId="1" applyNumberFormat="1" applyFont="1" applyAlignment="1">
      <alignment vertical="top"/>
    </xf>
    <xf numFmtId="0" fontId="5" fillId="0" borderId="0" xfId="1" applyFont="1" applyAlignment="1">
      <alignment vertical="top"/>
    </xf>
    <xf numFmtId="0" fontId="11" fillId="0" borderId="0" xfId="1" applyFont="1" applyAlignment="1">
      <alignment vertical="top"/>
    </xf>
    <xf numFmtId="0" fontId="2" fillId="0" borderId="0" xfId="1" applyAlignment="1">
      <alignment vertical="top"/>
    </xf>
    <xf numFmtId="0" fontId="2" fillId="0" borderId="0" xfId="1" applyAlignment="1" applyProtection="1">
      <alignment vertical="center" wrapText="1"/>
      <protection locked="0"/>
    </xf>
    <xf numFmtId="0" fontId="10" fillId="0" borderId="0" xfId="1" applyFont="1" applyAlignment="1" applyProtection="1">
      <alignment horizontal="left"/>
      <protection locked="0"/>
    </xf>
    <xf numFmtId="0" fontId="4" fillId="0" borderId="0" xfId="1" applyFont="1" applyAlignment="1" applyProtection="1">
      <alignment horizontal="left" vertical="center" indent="1"/>
      <protection locked="0"/>
    </xf>
    <xf numFmtId="1" fontId="4" fillId="0" borderId="0" xfId="1" applyNumberFormat="1" applyFont="1" applyAlignment="1" applyProtection="1">
      <alignment horizontal="left" vertical="center" indent="1"/>
      <protection locked="0"/>
    </xf>
    <xf numFmtId="0" fontId="4" fillId="0" borderId="5" xfId="1" applyFont="1" applyBorder="1" applyAlignment="1" applyProtection="1">
      <alignment horizontal="left" vertical="center" indent="1"/>
      <protection locked="0"/>
    </xf>
    <xf numFmtId="0" fontId="4" fillId="0" borderId="0" xfId="1" applyFont="1" applyAlignment="1" applyProtection="1">
      <alignment horizontal="left" vertical="center"/>
      <protection locked="0"/>
    </xf>
    <xf numFmtId="1" fontId="4" fillId="0" borderId="0" xfId="1" applyNumberFormat="1" applyFont="1" applyAlignment="1" applyProtection="1">
      <alignment horizontal="left" vertical="center"/>
      <protection locked="0"/>
    </xf>
    <xf numFmtId="1" fontId="2" fillId="0" borderId="0" xfId="1" applyNumberFormat="1" applyAlignment="1">
      <alignment horizontal="left" vertical="center" indent="1"/>
    </xf>
    <xf numFmtId="0" fontId="2" fillId="0" borderId="0" xfId="1" applyAlignment="1" applyProtection="1">
      <alignment horizontal="left" vertical="center"/>
      <protection locked="0"/>
    </xf>
    <xf numFmtId="0" fontId="2" fillId="0" borderId="0" xfId="1" applyAlignment="1">
      <alignment horizontal="left" vertical="center" wrapText="1"/>
    </xf>
    <xf numFmtId="0" fontId="2" fillId="0" borderId="0" xfId="1" applyAlignment="1" applyProtection="1">
      <alignment horizontal="left" vertical="center" wrapText="1"/>
      <protection locked="0"/>
    </xf>
    <xf numFmtId="0" fontId="4" fillId="0" borderId="0" xfId="1" applyFont="1"/>
    <xf numFmtId="1" fontId="4" fillId="0" borderId="0" xfId="1" applyNumberFormat="1" applyFont="1" applyProtection="1">
      <protection locked="0"/>
    </xf>
    <xf numFmtId="0" fontId="2" fillId="0" borderId="0" xfId="1" applyAlignment="1" applyProtection="1">
      <alignment horizontal="left"/>
      <protection locked="0"/>
    </xf>
    <xf numFmtId="0" fontId="2" fillId="0" borderId="32" xfId="1" applyBorder="1" applyAlignment="1" applyProtection="1">
      <alignment horizontal="left" vertical="top"/>
      <protection locked="0"/>
    </xf>
    <xf numFmtId="0" fontId="2" fillId="0" borderId="33" xfId="1" applyBorder="1" applyAlignment="1" applyProtection="1">
      <alignment horizontal="left" vertical="top"/>
      <protection locked="0"/>
    </xf>
    <xf numFmtId="0" fontId="2" fillId="0" borderId="0" xfId="1" applyAlignment="1" applyProtection="1">
      <alignment horizontal="left" vertical="top"/>
      <protection locked="0"/>
    </xf>
    <xf numFmtId="1" fontId="2" fillId="0" borderId="0" xfId="1" applyNumberFormat="1" applyAlignment="1" applyProtection="1">
      <alignment horizontal="left" vertical="top"/>
      <protection locked="0"/>
    </xf>
    <xf numFmtId="0" fontId="3" fillId="2" borderId="0" xfId="1" applyFont="1" applyFill="1" applyAlignment="1" applyProtection="1">
      <alignment vertical="center"/>
      <protection locked="0"/>
    </xf>
    <xf numFmtId="0" fontId="3" fillId="2" borderId="5" xfId="1" applyFont="1" applyFill="1" applyBorder="1" applyAlignment="1" applyProtection="1">
      <alignment vertical="center"/>
      <protection locked="0"/>
    </xf>
    <xf numFmtId="0" fontId="8" fillId="3" borderId="1" xfId="1" applyFont="1" applyFill="1" applyBorder="1" applyAlignment="1" applyProtection="1">
      <alignment vertical="center"/>
      <protection locked="0"/>
    </xf>
    <xf numFmtId="1" fontId="2" fillId="0" borderId="3" xfId="1" applyNumberFormat="1" applyBorder="1" applyProtection="1">
      <protection locked="0"/>
    </xf>
    <xf numFmtId="0" fontId="2" fillId="0" borderId="24" xfId="1" applyBorder="1" applyAlignment="1" applyProtection="1">
      <alignment vertical="top"/>
      <protection locked="0"/>
    </xf>
    <xf numFmtId="0" fontId="2" fillId="0" borderId="25" xfId="1" applyBorder="1" applyAlignment="1" applyProtection="1">
      <alignment vertical="top"/>
      <protection locked="0"/>
    </xf>
    <xf numFmtId="0" fontId="2" fillId="0" borderId="37" xfId="1" applyBorder="1" applyProtection="1">
      <protection locked="0"/>
    </xf>
    <xf numFmtId="0" fontId="2" fillId="0" borderId="0" xfId="1" applyAlignment="1" applyProtection="1">
      <alignment horizontal="left" wrapText="1"/>
      <protection locked="0"/>
    </xf>
    <xf numFmtId="0" fontId="2" fillId="4" borderId="0" xfId="1" applyFill="1" applyAlignment="1" applyProtection="1">
      <alignment wrapText="1"/>
      <protection locked="0"/>
    </xf>
    <xf numFmtId="0" fontId="2" fillId="0" borderId="0" xfId="1" applyAlignment="1" applyProtection="1">
      <alignment wrapText="1"/>
      <protection locked="0"/>
    </xf>
    <xf numFmtId="167" fontId="2" fillId="0" borderId="0" xfId="1" applyNumberFormat="1" applyAlignment="1">
      <alignment wrapText="1"/>
    </xf>
    <xf numFmtId="1" fontId="2" fillId="0" borderId="0" xfId="1" applyNumberFormat="1" applyAlignment="1">
      <alignment horizontal="left" wrapText="1"/>
    </xf>
    <xf numFmtId="1" fontId="2" fillId="0" borderId="5" xfId="1" applyNumberFormat="1" applyBorder="1" applyAlignment="1">
      <alignment horizontal="left" wrapText="1"/>
    </xf>
    <xf numFmtId="0" fontId="2" fillId="4" borderId="0" xfId="1" applyFill="1" applyAlignment="1" applyProtection="1">
      <alignment vertical="center"/>
      <protection locked="0"/>
    </xf>
    <xf numFmtId="0" fontId="3" fillId="2" borderId="48" xfId="1" applyFont="1" applyFill="1" applyBorder="1" applyAlignment="1" applyProtection="1">
      <alignment vertical="center"/>
      <protection locked="0"/>
    </xf>
    <xf numFmtId="0" fontId="2" fillId="0" borderId="5" xfId="1" applyBorder="1" applyAlignment="1" applyProtection="1">
      <alignment horizontal="left" wrapText="1"/>
      <protection locked="0"/>
    </xf>
    <xf numFmtId="0" fontId="2" fillId="0" borderId="5" xfId="1" applyBorder="1" applyAlignment="1" applyProtection="1">
      <alignment wrapText="1"/>
      <protection locked="0"/>
    </xf>
    <xf numFmtId="167" fontId="2" fillId="0" borderId="5" xfId="1" applyNumberFormat="1" applyBorder="1" applyAlignment="1">
      <alignment wrapText="1"/>
    </xf>
    <xf numFmtId="0" fontId="2" fillId="4" borderId="5" xfId="1" applyFill="1" applyBorder="1" applyAlignment="1" applyProtection="1">
      <alignment wrapText="1"/>
      <protection locked="0"/>
    </xf>
    <xf numFmtId="0" fontId="2" fillId="0" borderId="0" xfId="1" applyAlignment="1">
      <alignment vertical="center" wrapText="1"/>
    </xf>
    <xf numFmtId="1" fontId="0" fillId="0" borderId="0" xfId="0" applyNumberFormat="1" applyAlignment="1">
      <alignment horizontal="left"/>
    </xf>
    <xf numFmtId="14" fontId="0" fillId="0" borderId="0" xfId="0" applyNumberFormat="1"/>
    <xf numFmtId="4" fontId="0" fillId="0" borderId="0" xfId="0" applyNumberFormat="1"/>
    <xf numFmtId="0" fontId="14" fillId="2" borderId="0" xfId="0" applyFont="1" applyFill="1"/>
    <xf numFmtId="0" fontId="15" fillId="2" borderId="0" xfId="0" applyFont="1" applyFill="1" applyAlignment="1">
      <alignment horizontal="center"/>
    </xf>
    <xf numFmtId="0" fontId="17" fillId="6" borderId="0" xfId="0" applyFont="1" applyFill="1"/>
    <xf numFmtId="0" fontId="17" fillId="6" borderId="0" xfId="0" applyFont="1" applyFill="1" applyAlignment="1">
      <alignment horizontal="center"/>
    </xf>
    <xf numFmtId="0" fontId="18" fillId="0" borderId="0" xfId="0" applyFont="1"/>
    <xf numFmtId="0" fontId="1" fillId="0" borderId="0" xfId="0" applyFont="1"/>
    <xf numFmtId="0" fontId="1" fillId="5" borderId="0" xfId="0" applyFont="1" applyFill="1" applyAlignment="1">
      <alignment horizontal="center"/>
    </xf>
    <xf numFmtId="0" fontId="24" fillId="0" borderId="0" xfId="0" applyFont="1"/>
    <xf numFmtId="0" fontId="25" fillId="0" borderId="0" xfId="0" applyFont="1"/>
    <xf numFmtId="0" fontId="27" fillId="2" borderId="0" xfId="0" applyFont="1" applyFill="1"/>
    <xf numFmtId="0" fontId="0" fillId="6" borderId="0" xfId="0" applyFill="1"/>
    <xf numFmtId="0" fontId="19" fillId="7" borderId="0" xfId="0" applyFont="1" applyFill="1"/>
    <xf numFmtId="0" fontId="29" fillId="0" borderId="0" xfId="0" applyFont="1"/>
    <xf numFmtId="0" fontId="27" fillId="7" borderId="0" xfId="0" applyFont="1" applyFill="1"/>
    <xf numFmtId="49" fontId="30" fillId="0" borderId="0" xfId="0" quotePrefix="1" applyNumberFormat="1" applyFont="1" applyAlignment="1">
      <alignment wrapText="1"/>
    </xf>
    <xf numFmtId="0" fontId="15" fillId="7" borderId="0" xfId="0" applyFont="1" applyFill="1"/>
    <xf numFmtId="0" fontId="17" fillId="5" borderId="0" xfId="0" applyFont="1" applyFill="1" applyAlignment="1">
      <alignment horizontal="center"/>
    </xf>
    <xf numFmtId="169" fontId="0" fillId="0" borderId="0" xfId="0" applyNumberFormat="1"/>
    <xf numFmtId="0" fontId="12" fillId="0" borderId="0" xfId="2"/>
    <xf numFmtId="0" fontId="19" fillId="2" borderId="0" xfId="0" applyFont="1" applyFill="1" applyAlignment="1" applyProtection="1">
      <alignment horizontal="center"/>
      <protection locked="0"/>
    </xf>
    <xf numFmtId="0" fontId="0" fillId="0" borderId="0" xfId="0" applyProtection="1">
      <protection locked="0"/>
    </xf>
    <xf numFmtId="0" fontId="20" fillId="0" borderId="0" xfId="0" applyFont="1" applyProtection="1">
      <protection locked="0"/>
    </xf>
    <xf numFmtId="0" fontId="21" fillId="0" borderId="0" xfId="0" applyFont="1" applyProtection="1">
      <protection locked="0"/>
    </xf>
    <xf numFmtId="0" fontId="1" fillId="0" borderId="0" xfId="0" applyFont="1" applyAlignment="1" applyProtection="1">
      <alignment horizontal="right"/>
      <protection locked="0"/>
    </xf>
    <xf numFmtId="0" fontId="23" fillId="0" borderId="0" xfId="0" applyFont="1" applyAlignment="1" applyProtection="1">
      <alignment horizontal="center"/>
      <protection locked="0"/>
    </xf>
    <xf numFmtId="0" fontId="22" fillId="0" borderId="27" xfId="0" applyFont="1" applyBorder="1" applyProtection="1">
      <protection locked="0"/>
    </xf>
    <xf numFmtId="0" fontId="21" fillId="0" borderId="0" xfId="0" applyFont="1" applyAlignment="1" applyProtection="1">
      <alignment horizontal="right"/>
      <protection locked="0"/>
    </xf>
    <xf numFmtId="0" fontId="0" fillId="0" borderId="27" xfId="0" applyBorder="1" applyProtection="1">
      <protection locked="0"/>
    </xf>
    <xf numFmtId="0" fontId="22" fillId="0" borderId="0" xfId="0" applyFont="1" applyProtection="1">
      <protection locked="0"/>
    </xf>
    <xf numFmtId="0" fontId="24" fillId="0" borderId="0" xfId="0" applyFont="1" applyAlignment="1" applyProtection="1">
      <alignment horizontal="center"/>
      <protection locked="0"/>
    </xf>
    <xf numFmtId="0" fontId="16" fillId="6" borderId="0" xfId="0" applyFont="1" applyFill="1" applyProtection="1">
      <protection locked="0"/>
    </xf>
    <xf numFmtId="0" fontId="26" fillId="0" borderId="0" xfId="0" applyFont="1" applyProtection="1">
      <protection locked="0"/>
    </xf>
    <xf numFmtId="0" fontId="31" fillId="2" borderId="38" xfId="0" applyFont="1" applyFill="1" applyBorder="1" applyAlignment="1" applyProtection="1">
      <alignment horizontal="center"/>
      <protection locked="0"/>
    </xf>
    <xf numFmtId="0" fontId="31" fillId="2" borderId="44" xfId="0" applyFont="1" applyFill="1" applyBorder="1" applyAlignment="1" applyProtection="1">
      <alignment horizontal="center"/>
      <protection locked="0"/>
    </xf>
    <xf numFmtId="0" fontId="31" fillId="2" borderId="39" xfId="0" applyFont="1" applyFill="1" applyBorder="1" applyAlignment="1" applyProtection="1">
      <alignment horizontal="center"/>
      <protection locked="0"/>
    </xf>
    <xf numFmtId="49" fontId="22" fillId="0" borderId="0" xfId="0" applyNumberFormat="1" applyFont="1" applyProtection="1">
      <protection locked="0"/>
    </xf>
    <xf numFmtId="0" fontId="15" fillId="2" borderId="0" xfId="0" applyFont="1" applyFill="1" applyAlignment="1" applyProtection="1">
      <alignment horizontal="center"/>
      <protection locked="0"/>
    </xf>
    <xf numFmtId="0" fontId="15" fillId="2" borderId="50" xfId="0" applyFont="1" applyFill="1" applyBorder="1" applyAlignment="1" applyProtection="1">
      <alignment horizontal="center" vertical="center"/>
      <protection locked="0"/>
    </xf>
    <xf numFmtId="0" fontId="0" fillId="5" borderId="0" xfId="0" applyFill="1" applyAlignment="1" applyProtection="1">
      <alignment horizontal="center"/>
      <protection locked="0"/>
    </xf>
    <xf numFmtId="0" fontId="25" fillId="0" borderId="0" xfId="0" applyFont="1" applyProtection="1">
      <protection locked="0"/>
    </xf>
    <xf numFmtId="0" fontId="22" fillId="0" borderId="0" xfId="0" applyFont="1" applyAlignment="1" applyProtection="1">
      <alignment horizontal="center"/>
      <protection locked="0"/>
    </xf>
    <xf numFmtId="0" fontId="22" fillId="4" borderId="50" xfId="0" applyFont="1" applyFill="1" applyBorder="1" applyAlignment="1" applyProtection="1">
      <alignment horizontal="center" vertical="center"/>
      <protection locked="0"/>
    </xf>
    <xf numFmtId="0" fontId="0" fillId="0" borderId="0" xfId="0" applyAlignment="1" applyProtection="1">
      <alignment horizontal="center"/>
      <protection locked="0"/>
    </xf>
    <xf numFmtId="1" fontId="22" fillId="0" borderId="0" xfId="0" applyNumberFormat="1" applyFont="1" applyProtection="1">
      <protection locked="0"/>
    </xf>
    <xf numFmtId="0" fontId="0" fillId="6" borderId="0" xfId="0" applyFill="1" applyProtection="1">
      <protection locked="0"/>
    </xf>
    <xf numFmtId="0" fontId="28" fillId="0" borderId="0" xfId="0" applyFont="1" applyProtection="1">
      <protection locked="0"/>
    </xf>
    <xf numFmtId="0" fontId="24" fillId="6" borderId="0" xfId="0" applyFont="1" applyFill="1" applyProtection="1">
      <protection locked="0"/>
    </xf>
    <xf numFmtId="3" fontId="32" fillId="8" borderId="45" xfId="0" applyNumberFormat="1" applyFont="1" applyFill="1" applyBorder="1" applyAlignment="1">
      <alignment horizontal="center"/>
    </xf>
    <xf numFmtId="0" fontId="32" fillId="8" borderId="45" xfId="0" applyFont="1" applyFill="1" applyBorder="1" applyAlignment="1">
      <alignment horizontal="center"/>
    </xf>
    <xf numFmtId="0" fontId="32" fillId="8" borderId="43" xfId="0" applyFont="1" applyFill="1" applyBorder="1" applyAlignment="1">
      <alignment horizontal="center"/>
    </xf>
    <xf numFmtId="1" fontId="25" fillId="0" borderId="0" xfId="0" applyNumberFormat="1" applyFont="1" applyAlignment="1">
      <alignment horizontal="center"/>
    </xf>
    <xf numFmtId="170" fontId="25" fillId="0" borderId="0" xfId="0" applyNumberFormat="1" applyFont="1" applyAlignment="1">
      <alignment horizontal="center"/>
    </xf>
    <xf numFmtId="0" fontId="33" fillId="0" borderId="0" xfId="0" applyFont="1" applyAlignment="1" applyProtection="1">
      <alignment horizontal="right"/>
      <protection locked="0"/>
    </xf>
    <xf numFmtId="0" fontId="33" fillId="0" borderId="0" xfId="0" applyFont="1" applyAlignment="1">
      <alignment horizontal="right"/>
    </xf>
    <xf numFmtId="169" fontId="22" fillId="0" borderId="27" xfId="0" applyNumberFormat="1" applyFont="1" applyBorder="1" applyAlignment="1">
      <alignment horizontal="left"/>
    </xf>
    <xf numFmtId="0" fontId="22" fillId="0" borderId="27" xfId="0" quotePrefix="1" applyFont="1" applyBorder="1" applyProtection="1">
      <protection locked="0"/>
    </xf>
    <xf numFmtId="169" fontId="24" fillId="0" borderId="0" xfId="0" applyNumberFormat="1" applyFont="1" applyAlignment="1" applyProtection="1">
      <alignment horizontal="left"/>
      <protection locked="0"/>
    </xf>
    <xf numFmtId="1" fontId="22" fillId="0" borderId="0" xfId="0" applyNumberFormat="1" applyFont="1" applyAlignment="1" applyProtection="1">
      <alignment horizontal="center"/>
      <protection locked="0"/>
    </xf>
    <xf numFmtId="0" fontId="0" fillId="0" borderId="6" xfId="0" applyBorder="1"/>
    <xf numFmtId="0" fontId="35" fillId="0" borderId="6" xfId="0" applyFont="1" applyBorder="1" applyAlignment="1">
      <alignment wrapText="1"/>
    </xf>
    <xf numFmtId="0" fontId="35" fillId="0" borderId="6" xfId="1" applyFont="1" applyBorder="1" applyAlignment="1" applyProtection="1">
      <alignment vertical="top"/>
      <protection locked="0"/>
    </xf>
    <xf numFmtId="0" fontId="35" fillId="0" borderId="27" xfId="0" applyFont="1" applyBorder="1"/>
    <xf numFmtId="0" fontId="35" fillId="0" borderId="27" xfId="0" applyFont="1" applyBorder="1" applyAlignment="1">
      <alignment horizontal="left"/>
    </xf>
    <xf numFmtId="0" fontId="35" fillId="0" borderId="0" xfId="0" applyFont="1"/>
    <xf numFmtId="1" fontId="34" fillId="9" borderId="50" xfId="0" applyNumberFormat="1" applyFont="1" applyFill="1" applyBorder="1" applyAlignment="1">
      <alignment horizontal="center" vertical="center"/>
    </xf>
    <xf numFmtId="0" fontId="0" fillId="4" borderId="0" xfId="0" applyFill="1" applyProtection="1">
      <protection locked="0"/>
    </xf>
    <xf numFmtId="0" fontId="20" fillId="10" borderId="0" xfId="0" applyFont="1" applyFill="1" applyAlignment="1" applyProtection="1">
      <alignment horizontal="center"/>
      <protection locked="0"/>
    </xf>
    <xf numFmtId="0" fontId="0" fillId="0" borderId="61" xfId="0" applyBorder="1" applyProtection="1">
      <protection locked="0"/>
    </xf>
    <xf numFmtId="0" fontId="36" fillId="2" borderId="0" xfId="0" applyFont="1" applyFill="1" applyAlignment="1" applyProtection="1">
      <alignment horizontal="center"/>
      <protection locked="0"/>
    </xf>
    <xf numFmtId="0" fontId="37" fillId="0" borderId="5" xfId="1" applyFont="1" applyBorder="1" applyAlignment="1" applyProtection="1">
      <alignment horizontal="right" vertical="center"/>
      <protection locked="0"/>
    </xf>
    <xf numFmtId="0" fontId="39" fillId="0" borderId="4" xfId="1" applyFont="1" applyBorder="1" applyAlignment="1" applyProtection="1">
      <alignment vertical="center"/>
      <protection locked="0"/>
    </xf>
    <xf numFmtId="0" fontId="39" fillId="0" borderId="23" xfId="1" applyFont="1" applyBorder="1" applyAlignment="1" applyProtection="1">
      <alignment vertical="top"/>
      <protection locked="0"/>
    </xf>
    <xf numFmtId="0" fontId="39" fillId="0" borderId="4" xfId="1" applyFont="1" applyBorder="1" applyAlignment="1">
      <alignment horizontal="left" vertical="top"/>
    </xf>
    <xf numFmtId="0" fontId="40" fillId="0" borderId="4" xfId="1" applyFont="1" applyBorder="1" applyAlignment="1">
      <alignment vertical="top"/>
    </xf>
    <xf numFmtId="0" fontId="39" fillId="0" borderId="4" xfId="1" applyFont="1" applyBorder="1" applyAlignment="1">
      <alignment vertical="top"/>
    </xf>
    <xf numFmtId="0" fontId="39" fillId="0" borderId="4" xfId="1" applyFont="1" applyBorder="1" applyAlignment="1">
      <alignment vertical="center"/>
    </xf>
    <xf numFmtId="0" fontId="39" fillId="0" borderId="0" xfId="1" applyFont="1" applyAlignment="1">
      <alignment vertical="center"/>
    </xf>
    <xf numFmtId="0" fontId="39" fillId="0" borderId="38" xfId="1" applyFont="1" applyBorder="1" applyAlignment="1">
      <alignment horizontal="right" vertical="center"/>
    </xf>
    <xf numFmtId="0" fontId="39" fillId="0" borderId="49" xfId="1" applyFont="1" applyBorder="1" applyAlignment="1">
      <alignment horizontal="right" vertical="center"/>
    </xf>
    <xf numFmtId="0" fontId="39" fillId="0" borderId="42" xfId="1" applyFont="1" applyBorder="1" applyAlignment="1">
      <alignment horizontal="right" vertical="center"/>
    </xf>
    <xf numFmtId="15" fontId="39" fillId="4" borderId="39" xfId="1" applyNumberFormat="1" applyFont="1" applyFill="1" applyBorder="1" applyAlignment="1" applyProtection="1">
      <alignment horizontal="left" vertical="center"/>
      <protection locked="0"/>
    </xf>
    <xf numFmtId="15" fontId="39" fillId="0" borderId="47" xfId="1" applyNumberFormat="1" applyFont="1" applyBorder="1" applyAlignment="1">
      <alignment horizontal="left" vertical="center"/>
    </xf>
    <xf numFmtId="15" fontId="39" fillId="0" borderId="41" xfId="1" applyNumberFormat="1" applyFont="1" applyBorder="1" applyAlignment="1">
      <alignment horizontal="left" vertical="center"/>
    </xf>
    <xf numFmtId="0" fontId="39" fillId="4" borderId="25" xfId="1" applyFont="1" applyFill="1" applyBorder="1" applyAlignment="1" applyProtection="1">
      <alignment horizontal="left" vertical="center"/>
      <protection locked="0"/>
    </xf>
    <xf numFmtId="0" fontId="39" fillId="0" borderId="38" xfId="1" applyFont="1" applyBorder="1" applyAlignment="1">
      <alignment horizontal="right" vertical="center" wrapText="1"/>
    </xf>
    <xf numFmtId="0" fontId="39" fillId="0" borderId="40" xfId="1" applyFont="1" applyBorder="1" applyAlignment="1">
      <alignment horizontal="right" vertical="center" wrapText="1"/>
    </xf>
    <xf numFmtId="0" fontId="39" fillId="0" borderId="40" xfId="1" applyFont="1" applyBorder="1" applyAlignment="1">
      <alignment horizontal="left" vertical="center"/>
    </xf>
    <xf numFmtId="168" fontId="41" fillId="4" borderId="39" xfId="1" applyNumberFormat="1" applyFont="1" applyFill="1" applyBorder="1" applyAlignment="1" applyProtection="1">
      <alignment horizontal="left" vertical="center" wrapText="1"/>
      <protection locked="0"/>
    </xf>
    <xf numFmtId="0" fontId="39" fillId="4" borderId="41" xfId="1" applyFont="1" applyFill="1" applyBorder="1" applyAlignment="1" applyProtection="1">
      <alignment horizontal="left" vertical="center" wrapText="1"/>
      <protection locked="0"/>
    </xf>
    <xf numFmtId="2" fontId="39" fillId="0" borderId="41" xfId="1" applyNumberFormat="1" applyFont="1" applyBorder="1" applyAlignment="1">
      <alignment horizontal="left" vertical="center" wrapText="1"/>
    </xf>
    <xf numFmtId="1" fontId="39" fillId="0" borderId="41" xfId="1" applyNumberFormat="1" applyFont="1" applyBorder="1" applyAlignment="1">
      <alignment horizontal="left" vertical="center" wrapText="1"/>
    </xf>
    <xf numFmtId="167" fontId="39" fillId="0" borderId="41" xfId="1" applyNumberFormat="1" applyFont="1" applyBorder="1" applyAlignment="1">
      <alignment horizontal="left" vertical="center" wrapText="1"/>
    </xf>
    <xf numFmtId="0" fontId="39" fillId="4" borderId="43" xfId="1" applyFont="1" applyFill="1" applyBorder="1" applyAlignment="1" applyProtection="1">
      <alignment horizontal="left" vertical="center" wrapText="1"/>
      <protection locked="0"/>
    </xf>
    <xf numFmtId="0" fontId="39" fillId="0" borderId="27" xfId="1" applyFont="1" applyBorder="1" applyAlignment="1">
      <alignment horizontal="right" vertical="center"/>
    </xf>
    <xf numFmtId="0" fontId="39" fillId="0" borderId="46" xfId="1" applyFont="1" applyBorder="1" applyAlignment="1">
      <alignment vertical="center"/>
    </xf>
    <xf numFmtId="0" fontId="39" fillId="0" borderId="6" xfId="1" applyFont="1" applyBorder="1" applyAlignment="1">
      <alignment vertical="center" wrapText="1"/>
    </xf>
    <xf numFmtId="0" fontId="39" fillId="0" borderId="6" xfId="1" applyFont="1" applyBorder="1" applyAlignment="1">
      <alignment horizontal="right" vertical="center"/>
    </xf>
    <xf numFmtId="0" fontId="39" fillId="0" borderId="11" xfId="1" applyFont="1" applyBorder="1" applyAlignment="1">
      <alignment vertical="center"/>
    </xf>
    <xf numFmtId="0" fontId="39" fillId="4" borderId="6" xfId="1" applyFont="1" applyFill="1" applyBorder="1" applyAlignment="1" applyProtection="1">
      <alignment vertical="center"/>
      <protection locked="0"/>
    </xf>
    <xf numFmtId="0" fontId="42" fillId="0" borderId="27" xfId="1" applyFont="1" applyBorder="1"/>
    <xf numFmtId="0" fontId="42" fillId="0" borderId="27" xfId="1" applyFont="1" applyBorder="1" applyAlignment="1">
      <alignment horizontal="left"/>
    </xf>
    <xf numFmtId="14" fontId="39" fillId="0" borderId="27" xfId="1" applyNumberFormat="1" applyFont="1" applyBorder="1" applyAlignment="1">
      <alignment horizontal="left"/>
    </xf>
    <xf numFmtId="0" fontId="39" fillId="0" borderId="27" xfId="1" applyFont="1" applyBorder="1" applyAlignment="1">
      <alignment horizontal="left"/>
    </xf>
    <xf numFmtId="0" fontId="42" fillId="0" borderId="0" xfId="1" applyFont="1" applyProtection="1">
      <protection locked="0"/>
    </xf>
    <xf numFmtId="0" fontId="43" fillId="0" borderId="0" xfId="1" applyFont="1" applyAlignment="1" applyProtection="1">
      <alignment horizontal="left"/>
      <protection locked="0"/>
    </xf>
    <xf numFmtId="0" fontId="38" fillId="2" borderId="9" xfId="1" applyFont="1" applyFill="1" applyBorder="1" applyAlignment="1">
      <alignment horizontal="center" vertical="center"/>
    </xf>
    <xf numFmtId="1" fontId="38" fillId="2" borderId="9" xfId="1" applyNumberFormat="1" applyFont="1" applyFill="1" applyBorder="1" applyAlignment="1">
      <alignment horizontal="center" vertical="center"/>
    </xf>
    <xf numFmtId="0" fontId="38" fillId="2" borderId="29" xfId="1" applyFont="1" applyFill="1" applyBorder="1" applyAlignment="1">
      <alignment horizontal="center" vertical="center"/>
    </xf>
    <xf numFmtId="3" fontId="39" fillId="4" borderId="6" xfId="1" applyNumberFormat="1" applyFont="1" applyFill="1" applyBorder="1" applyAlignment="1" applyProtection="1">
      <alignment horizontal="center" vertical="center"/>
      <protection locked="0"/>
    </xf>
    <xf numFmtId="0" fontId="39" fillId="4" borderId="6" xfId="1" applyFont="1" applyFill="1" applyBorder="1" applyAlignment="1">
      <alignment horizontal="center" vertical="center"/>
    </xf>
    <xf numFmtId="2" fontId="13" fillId="4" borderId="31" xfId="1" applyNumberFormat="1" applyFont="1" applyFill="1" applyBorder="1" applyAlignment="1" applyProtection="1">
      <alignment horizontal="center" vertical="center"/>
      <protection locked="0"/>
    </xf>
    <xf numFmtId="1" fontId="13" fillId="4" borderId="31" xfId="1" applyNumberFormat="1" applyFont="1" applyFill="1" applyBorder="1" applyAlignment="1" applyProtection="1">
      <alignment horizontal="center" vertical="center"/>
      <protection locked="0"/>
    </xf>
    <xf numFmtId="1" fontId="39" fillId="4" borderId="6" xfId="1" applyNumberFormat="1" applyFont="1" applyFill="1" applyBorder="1" applyAlignment="1">
      <alignment horizontal="center" vertical="center"/>
    </xf>
    <xf numFmtId="0" fontId="39" fillId="0" borderId="6" xfId="1" applyFont="1" applyBorder="1" applyAlignment="1">
      <alignment horizontal="left" vertical="center" indent="1"/>
    </xf>
    <xf numFmtId="3" fontId="39" fillId="0" borderId="6" xfId="1" applyNumberFormat="1" applyFont="1" applyBorder="1" applyAlignment="1">
      <alignment horizontal="center" vertical="center"/>
    </xf>
    <xf numFmtId="4" fontId="39" fillId="0" borderId="6" xfId="1" applyNumberFormat="1" applyFont="1" applyBorder="1" applyAlignment="1">
      <alignment horizontal="center" vertical="center"/>
    </xf>
    <xf numFmtId="165" fontId="39" fillId="0" borderId="31" xfId="1" applyNumberFormat="1" applyFont="1" applyBorder="1" applyAlignment="1">
      <alignment horizontal="center" vertical="center"/>
    </xf>
    <xf numFmtId="0" fontId="39" fillId="0" borderId="6" xfId="1" applyFont="1" applyBorder="1" applyProtection="1">
      <protection locked="0"/>
    </xf>
    <xf numFmtId="0" fontId="39" fillId="0" borderId="6" xfId="1" applyFont="1" applyBorder="1" applyAlignment="1" applyProtection="1">
      <alignment vertical="center"/>
      <protection locked="0"/>
    </xf>
    <xf numFmtId="166" fontId="39" fillId="0" borderId="6" xfId="1" applyNumberFormat="1" applyFont="1" applyBorder="1" applyAlignment="1" applyProtection="1">
      <alignment horizontal="right" vertical="center"/>
      <protection locked="0"/>
    </xf>
    <xf numFmtId="165" fontId="39" fillId="4" borderId="31" xfId="1" applyNumberFormat="1" applyFont="1" applyFill="1" applyBorder="1" applyAlignment="1" applyProtection="1">
      <alignment horizontal="right" vertical="center"/>
      <protection locked="0"/>
    </xf>
    <xf numFmtId="165" fontId="39" fillId="0" borderId="31" xfId="1" applyNumberFormat="1" applyFont="1" applyBorder="1" applyAlignment="1">
      <alignment horizontal="right" vertical="center"/>
    </xf>
    <xf numFmtId="0" fontId="39" fillId="0" borderId="17" xfId="1" applyFont="1" applyBorder="1" applyAlignment="1" applyProtection="1">
      <alignment horizontal="left" vertical="center" indent="1"/>
      <protection locked="0"/>
    </xf>
    <xf numFmtId="0" fontId="39" fillId="0" borderId="0" xfId="1" applyFont="1" applyAlignment="1" applyProtection="1">
      <alignment horizontal="left" vertical="center" indent="1"/>
      <protection locked="0"/>
    </xf>
    <xf numFmtId="0" fontId="39" fillId="0" borderId="0" xfId="1" applyFont="1" applyProtection="1">
      <protection locked="0"/>
    </xf>
    <xf numFmtId="0" fontId="39" fillId="0" borderId="0" xfId="1" applyFont="1" applyAlignment="1" applyProtection="1">
      <alignment vertical="center"/>
      <protection locked="0"/>
    </xf>
    <xf numFmtId="0" fontId="39" fillId="0" borderId="5" xfId="1" applyFont="1" applyBorder="1" applyAlignment="1" applyProtection="1">
      <alignment vertical="center"/>
      <protection locked="0"/>
    </xf>
    <xf numFmtId="0" fontId="42" fillId="0" borderId="6" xfId="1" applyFont="1" applyBorder="1" applyAlignment="1">
      <alignment horizontal="left" vertical="center" indent="1"/>
    </xf>
    <xf numFmtId="0" fontId="42" fillId="0" borderId="6" xfId="1" applyFont="1" applyBorder="1"/>
    <xf numFmtId="0" fontId="42" fillId="0" borderId="6" xfId="1" applyFont="1" applyBorder="1" applyAlignment="1">
      <alignment vertical="center"/>
    </xf>
    <xf numFmtId="0" fontId="39" fillId="0" borderId="34" xfId="1" applyFont="1" applyBorder="1" applyAlignment="1" applyProtection="1">
      <alignment vertical="center"/>
      <protection locked="0"/>
    </xf>
    <xf numFmtId="0" fontId="44" fillId="0" borderId="0" xfId="1" applyFont="1" applyProtection="1">
      <protection locked="0"/>
    </xf>
    <xf numFmtId="0" fontId="45" fillId="0" borderId="0" xfId="1" applyFont="1" applyAlignment="1" applyProtection="1">
      <alignment vertical="center"/>
      <protection locked="0"/>
    </xf>
    <xf numFmtId="0" fontId="45" fillId="0" borderId="5" xfId="1" applyFont="1" applyBorder="1" applyAlignment="1" applyProtection="1">
      <alignment vertical="center"/>
      <protection locked="0"/>
    </xf>
    <xf numFmtId="0" fontId="44" fillId="0" borderId="0" xfId="1" applyFont="1" applyAlignment="1" applyProtection="1">
      <alignment vertical="center"/>
      <protection locked="0"/>
    </xf>
    <xf numFmtId="0" fontId="44" fillId="0" borderId="5" xfId="1" applyFont="1" applyBorder="1" applyAlignment="1" applyProtection="1">
      <alignment vertical="center"/>
      <protection locked="0"/>
    </xf>
    <xf numFmtId="0" fontId="44" fillId="0" borderId="5" xfId="1" applyFont="1" applyBorder="1" applyProtection="1">
      <protection locked="0"/>
    </xf>
    <xf numFmtId="0" fontId="46" fillId="0" borderId="0" xfId="2" applyFont="1" applyAlignment="1" applyProtection="1">
      <alignment vertical="center" wrapText="1"/>
      <protection locked="0"/>
    </xf>
    <xf numFmtId="0" fontId="44" fillId="0" borderId="0" xfId="1" applyFont="1" applyAlignment="1" applyProtection="1">
      <alignment vertical="center" wrapText="1"/>
      <protection locked="0"/>
    </xf>
    <xf numFmtId="0" fontId="44" fillId="0" borderId="5" xfId="1" applyFont="1" applyBorder="1" applyAlignment="1" applyProtection="1">
      <alignment vertical="center" wrapText="1"/>
      <protection locked="0"/>
    </xf>
    <xf numFmtId="1" fontId="0" fillId="11" borderId="6" xfId="0" applyNumberFormat="1" applyFill="1" applyBorder="1" applyProtection="1">
      <protection locked="0"/>
    </xf>
    <xf numFmtId="1" fontId="0" fillId="11" borderId="14" xfId="0" applyNumberFormat="1" applyFill="1" applyBorder="1" applyAlignment="1" applyProtection="1">
      <alignment horizontal="center"/>
      <protection locked="0"/>
    </xf>
    <xf numFmtId="1" fontId="0" fillId="11" borderId="6" xfId="0" applyNumberFormat="1" applyFill="1" applyBorder="1" applyAlignment="1" applyProtection="1">
      <alignment horizontal="center"/>
      <protection locked="0"/>
    </xf>
    <xf numFmtId="1" fontId="13" fillId="11" borderId="6" xfId="0" applyNumberFormat="1" applyFont="1" applyFill="1" applyBorder="1" applyAlignment="1" applyProtection="1">
      <alignment horizontal="center"/>
      <protection locked="0"/>
    </xf>
    <xf numFmtId="3" fontId="39" fillId="11" borderId="6" xfId="1" applyNumberFormat="1" applyFont="1" applyFill="1" applyBorder="1" applyAlignment="1" applyProtection="1">
      <alignment horizontal="center" vertical="center"/>
      <protection locked="0"/>
    </xf>
    <xf numFmtId="0" fontId="39" fillId="11" borderId="6" xfId="1" applyFont="1" applyFill="1" applyBorder="1" applyAlignment="1">
      <alignment horizontal="center" vertical="center"/>
    </xf>
    <xf numFmtId="2" fontId="13" fillId="11" borderId="31" xfId="1" applyNumberFormat="1" applyFont="1" applyFill="1" applyBorder="1" applyAlignment="1" applyProtection="1">
      <alignment horizontal="center" vertical="center"/>
      <protection locked="0"/>
    </xf>
    <xf numFmtId="1" fontId="13" fillId="11" borderId="31" xfId="1" applyNumberFormat="1" applyFont="1" applyFill="1" applyBorder="1" applyAlignment="1" applyProtection="1">
      <alignment horizontal="center" vertical="center"/>
      <protection locked="0"/>
    </xf>
    <xf numFmtId="1" fontId="39" fillId="11" borderId="6" xfId="1" applyNumberFormat="1" applyFont="1" applyFill="1" applyBorder="1" applyAlignment="1">
      <alignment horizontal="center" vertical="center"/>
    </xf>
    <xf numFmtId="1" fontId="39" fillId="11" borderId="31" xfId="1" applyNumberFormat="1" applyFont="1" applyFill="1" applyBorder="1" applyAlignment="1" applyProtection="1">
      <alignment horizontal="center" vertical="center"/>
      <protection locked="0"/>
    </xf>
    <xf numFmtId="0" fontId="43" fillId="4" borderId="13" xfId="1" applyFont="1" applyFill="1" applyBorder="1" applyAlignment="1">
      <alignment horizontal="left" vertical="center" wrapText="1"/>
    </xf>
    <xf numFmtId="3" fontId="39" fillId="4" borderId="6" xfId="1" applyNumberFormat="1" applyFont="1" applyFill="1" applyBorder="1" applyAlignment="1" applyProtection="1">
      <alignment horizontal="center" vertical="center" wrapText="1"/>
      <protection locked="0"/>
    </xf>
    <xf numFmtId="3" fontId="39" fillId="11" borderId="6" xfId="1" applyNumberFormat="1" applyFont="1" applyFill="1" applyBorder="1" applyAlignment="1" applyProtection="1">
      <alignment horizontal="center" vertical="center" wrapText="1"/>
      <protection locked="0"/>
    </xf>
    <xf numFmtId="164" fontId="39" fillId="11" borderId="6" xfId="1" applyNumberFormat="1" applyFont="1" applyFill="1" applyBorder="1" applyAlignment="1" applyProtection="1">
      <alignment horizontal="center" vertical="center" wrapText="1"/>
      <protection locked="0"/>
    </xf>
    <xf numFmtId="0" fontId="39" fillId="4" borderId="6" xfId="1" applyFont="1" applyFill="1" applyBorder="1" applyAlignment="1">
      <alignment horizontal="center"/>
    </xf>
    <xf numFmtId="1" fontId="0" fillId="11" borderId="30" xfId="0" applyNumberFormat="1" applyFill="1" applyBorder="1" applyAlignment="1" applyProtection="1">
      <alignment horizontal="center"/>
      <protection locked="0"/>
    </xf>
    <xf numFmtId="0" fontId="39" fillId="4" borderId="31" xfId="1" applyFont="1" applyFill="1" applyBorder="1" applyAlignment="1">
      <alignment horizontal="center"/>
    </xf>
    <xf numFmtId="0" fontId="2" fillId="0" borderId="2" xfId="1" applyBorder="1" applyProtection="1">
      <protection locked="0"/>
    </xf>
    <xf numFmtId="0" fontId="39" fillId="0" borderId="35" xfId="1" applyFont="1" applyBorder="1" applyProtection="1">
      <protection locked="0"/>
    </xf>
    <xf numFmtId="0" fontId="39" fillId="0" borderId="36" xfId="1" applyFont="1" applyBorder="1" applyProtection="1">
      <protection locked="0"/>
    </xf>
    <xf numFmtId="0" fontId="10" fillId="0" borderId="4" xfId="1" applyFont="1" applyBorder="1" applyProtection="1">
      <protection locked="0"/>
    </xf>
    <xf numFmtId="0" fontId="15" fillId="12" borderId="62" xfId="0" applyFont="1" applyFill="1" applyBorder="1" applyAlignment="1" applyProtection="1">
      <alignment horizontal="center"/>
      <protection locked="0"/>
    </xf>
    <xf numFmtId="0" fontId="15" fillId="13" borderId="63" xfId="0" applyFont="1" applyFill="1" applyBorder="1" applyAlignment="1" applyProtection="1">
      <alignment horizontal="center"/>
      <protection locked="0"/>
    </xf>
    <xf numFmtId="0" fontId="17" fillId="4" borderId="0" xfId="0" applyFont="1" applyFill="1" applyAlignment="1" applyProtection="1">
      <alignment horizontal="right"/>
      <protection locked="0"/>
    </xf>
    <xf numFmtId="1" fontId="47" fillId="14" borderId="50" xfId="0" applyNumberFormat="1" applyFont="1" applyFill="1" applyBorder="1" applyAlignment="1" applyProtection="1">
      <alignment horizontal="center" vertical="center"/>
      <protection locked="0"/>
    </xf>
    <xf numFmtId="0" fontId="38" fillId="2" borderId="15" xfId="1" applyFont="1" applyFill="1" applyBorder="1" applyAlignment="1">
      <alignment horizontal="left" vertical="center" indent="1"/>
    </xf>
    <xf numFmtId="0" fontId="0" fillId="0" borderId="57" xfId="0" applyBorder="1"/>
    <xf numFmtId="0" fontId="0" fillId="0" borderId="58" xfId="0" applyBorder="1"/>
    <xf numFmtId="0" fontId="39" fillId="0" borderId="54" xfId="1" applyFont="1" applyBorder="1" applyAlignment="1">
      <alignment horizontal="left" vertical="center" indent="1"/>
    </xf>
    <xf numFmtId="0" fontId="0" fillId="0" borderId="0" xfId="0"/>
    <xf numFmtId="0" fontId="0" fillId="0" borderId="16" xfId="0" applyBorder="1"/>
    <xf numFmtId="0" fontId="38" fillId="2" borderId="4" xfId="1" applyFont="1" applyFill="1" applyBorder="1" applyAlignment="1">
      <alignment vertical="center"/>
    </xf>
    <xf numFmtId="1" fontId="13" fillId="11" borderId="6" xfId="0" applyNumberFormat="1" applyFont="1" applyFill="1" applyBorder="1" applyAlignment="1" applyProtection="1">
      <alignment horizontal="left"/>
      <protection locked="0"/>
    </xf>
    <xf numFmtId="0" fontId="0" fillId="11" borderId="12" xfId="0" applyFill="1" applyBorder="1" applyProtection="1">
      <protection locked="0"/>
    </xf>
    <xf numFmtId="0" fontId="0" fillId="11" borderId="13" xfId="0" applyFill="1" applyBorder="1" applyProtection="1">
      <protection locked="0"/>
    </xf>
    <xf numFmtId="1" fontId="0" fillId="4" borderId="10" xfId="0" applyNumberFormat="1" applyFill="1" applyBorder="1" applyAlignment="1" applyProtection="1">
      <alignment horizontal="center"/>
      <protection locked="0"/>
    </xf>
    <xf numFmtId="0" fontId="0" fillId="4" borderId="12" xfId="0" applyFill="1" applyBorder="1" applyProtection="1">
      <protection locked="0"/>
    </xf>
    <xf numFmtId="0" fontId="0" fillId="4" borderId="13" xfId="0" applyFill="1" applyBorder="1" applyProtection="1">
      <protection locked="0"/>
    </xf>
    <xf numFmtId="0" fontId="38" fillId="2" borderId="51" xfId="1" applyFont="1" applyFill="1" applyBorder="1" applyAlignment="1">
      <alignment horizontal="left" vertical="center" indent="1"/>
    </xf>
    <xf numFmtId="0" fontId="0" fillId="0" borderId="5" xfId="0" applyBorder="1"/>
    <xf numFmtId="0" fontId="2" fillId="0" borderId="0" xfId="1" applyAlignment="1" applyProtection="1">
      <alignment vertical="center"/>
      <protection locked="0"/>
    </xf>
    <xf numFmtId="0" fontId="0" fillId="0" borderId="0" xfId="0" applyProtection="1">
      <protection locked="0"/>
    </xf>
    <xf numFmtId="1" fontId="38" fillId="2" borderId="8" xfId="1" applyNumberFormat="1" applyFont="1" applyFill="1" applyBorder="1" applyAlignment="1">
      <alignment horizontal="center" vertical="center"/>
    </xf>
    <xf numFmtId="0" fontId="1" fillId="0" borderId="59" xfId="0" applyFont="1" applyBorder="1"/>
    <xf numFmtId="0" fontId="1" fillId="0" borderId="60" xfId="0" applyFont="1" applyBorder="1"/>
    <xf numFmtId="0" fontId="2" fillId="0" borderId="5" xfId="1" applyBorder="1" applyAlignment="1" applyProtection="1">
      <alignment vertical="center" wrapText="1"/>
      <protection locked="0"/>
    </xf>
    <xf numFmtId="0" fontId="0" fillId="0" borderId="5" xfId="0" applyBorder="1" applyProtection="1">
      <protection locked="0"/>
    </xf>
    <xf numFmtId="1" fontId="0" fillId="11" borderId="10" xfId="0" applyNumberFormat="1" applyFill="1" applyBorder="1" applyAlignment="1" applyProtection="1">
      <alignment horizontal="center"/>
      <protection locked="0"/>
    </xf>
    <xf numFmtId="0" fontId="13" fillId="4" borderId="6" xfId="0" applyFont="1" applyFill="1" applyBorder="1" applyAlignment="1" applyProtection="1">
      <alignment horizontal="left"/>
      <protection locked="0"/>
    </xf>
    <xf numFmtId="0" fontId="2" fillId="0" borderId="51" xfId="1" applyBorder="1" applyAlignment="1" applyProtection="1">
      <alignment horizontal="center"/>
      <protection locked="0"/>
    </xf>
    <xf numFmtId="0" fontId="38" fillId="2" borderId="54" xfId="1" applyFont="1" applyFill="1" applyBorder="1" applyAlignment="1">
      <alignment horizontal="center" vertical="center"/>
    </xf>
    <xf numFmtId="0" fontId="2" fillId="0" borderId="51" xfId="1" applyBorder="1" applyAlignment="1" applyProtection="1">
      <alignment horizontal="center" vertical="center"/>
      <protection locked="0"/>
    </xf>
    <xf numFmtId="0" fontId="39" fillId="0" borderId="55" xfId="1" applyFont="1" applyBorder="1" applyAlignment="1">
      <alignment horizontal="left" vertical="center" indent="1"/>
    </xf>
    <xf numFmtId="0" fontId="0" fillId="0" borderId="19" xfId="0" applyBorder="1"/>
    <xf numFmtId="0" fontId="0" fillId="0" borderId="20" xfId="0" applyBorder="1"/>
    <xf numFmtId="0" fontId="2" fillId="0" borderId="56" xfId="1" applyBorder="1" applyAlignment="1" applyProtection="1">
      <alignment horizontal="left" vertical="top"/>
      <protection locked="0"/>
    </xf>
    <xf numFmtId="0" fontId="0" fillId="0" borderId="21" xfId="0" applyBorder="1" applyProtection="1">
      <protection locked="0"/>
    </xf>
    <xf numFmtId="0" fontId="0" fillId="0" borderId="22" xfId="0" applyBorder="1" applyProtection="1">
      <protection locked="0"/>
    </xf>
    <xf numFmtId="0" fontId="0" fillId="0" borderId="18" xfId="0" applyBorder="1" applyProtection="1">
      <protection locked="0"/>
    </xf>
    <xf numFmtId="0" fontId="0" fillId="0" borderId="19" xfId="0" applyBorder="1" applyProtection="1">
      <protection locked="0"/>
    </xf>
    <xf numFmtId="0" fontId="0" fillId="0" borderId="20" xfId="0" applyBorder="1" applyProtection="1">
      <protection locked="0"/>
    </xf>
    <xf numFmtId="1" fontId="13" fillId="11" borderId="26" xfId="0" applyNumberFormat="1" applyFont="1" applyFill="1" applyBorder="1" applyAlignment="1" applyProtection="1">
      <alignment horizontal="left"/>
      <protection locked="0"/>
    </xf>
    <xf numFmtId="0" fontId="0" fillId="11" borderId="52" xfId="0" applyFill="1" applyBorder="1" applyProtection="1">
      <protection locked="0"/>
    </xf>
    <xf numFmtId="0" fontId="0" fillId="11" borderId="53" xfId="0" applyFill="1" applyBorder="1" applyProtection="1">
      <protection locked="0"/>
    </xf>
    <xf numFmtId="0" fontId="2" fillId="0" borderId="4" xfId="1" applyBorder="1" applyAlignment="1">
      <alignment horizontal="left" vertical="center" indent="1"/>
    </xf>
    <xf numFmtId="0" fontId="38" fillId="2" borderId="9" xfId="1" applyFont="1" applyFill="1" applyBorder="1" applyAlignment="1">
      <alignment horizontal="left" vertical="center"/>
    </xf>
    <xf numFmtId="0" fontId="2" fillId="0" borderId="0" xfId="1" applyAlignment="1" applyProtection="1">
      <alignment vertical="center" wrapText="1"/>
      <protection locked="0"/>
    </xf>
    <xf numFmtId="0" fontId="39" fillId="0" borderId="4" xfId="1" applyFont="1" applyBorder="1" applyProtection="1">
      <protection locked="0"/>
    </xf>
    <xf numFmtId="0" fontId="9" fillId="0" borderId="51" xfId="1" applyFont="1" applyBorder="1" applyAlignment="1" applyProtection="1">
      <alignment horizontal="center"/>
      <protection locked="0"/>
    </xf>
    <xf numFmtId="0" fontId="2" fillId="0" borderId="4" xfId="1" applyBorder="1" applyAlignment="1" applyProtection="1">
      <alignment horizontal="left"/>
      <protection locked="0"/>
    </xf>
    <xf numFmtId="0" fontId="2" fillId="0" borderId="4" xfId="1" applyBorder="1" applyAlignment="1" applyProtection="1">
      <alignment vertical="center"/>
      <protection locked="0"/>
    </xf>
    <xf numFmtId="0" fontId="39" fillId="0" borderId="54" xfId="1" applyFont="1" applyBorder="1" applyAlignment="1" applyProtection="1">
      <alignment horizontal="left" vertical="center" indent="1"/>
      <protection locked="0"/>
    </xf>
    <xf numFmtId="0" fontId="0" fillId="0" borderId="16" xfId="0" applyBorder="1" applyProtection="1">
      <protection locked="0"/>
    </xf>
  </cellXfs>
  <cellStyles count="3">
    <cellStyle name="Hyperlink" xfId="2" builtinId="8"/>
    <cellStyle name="Normal" xfId="0" builtinId="0"/>
    <cellStyle name="Normal 2" xfId="1" xr:uid="{00000000-0005-0000-0000-000001000000}"/>
  </cellStyles>
  <dxfs count="1">
    <dxf>
      <numFmt numFmtId="1" formatCode="0"/>
      <alignment horizontal="left" vertical="botto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50800</xdr:colOff>
      <xdr:row>54</xdr:row>
      <xdr:rowOff>50800</xdr:rowOff>
    </xdr:from>
    <xdr:to>
      <xdr:col>5</xdr:col>
      <xdr:colOff>1787525</xdr:colOff>
      <xdr:row>54</xdr:row>
      <xdr:rowOff>456406</xdr:rowOff>
    </xdr:to>
    <xdr:sp macro="[0]!GeneratePPO" textlink="">
      <xdr:nvSpPr>
        <xdr:cNvPr id="4" name="GENERATE_PPO_BTN" descr="Click me, then say 'generate PPO' in the AI assistant panel" title="GENERATE PPO Button">
          <a:extLst>
            <a:ext uri="{FF2B5EF4-FFF2-40B4-BE49-F238E27FC236}">
              <a16:creationId xmlns:a16="http://schemas.microsoft.com/office/drawing/2014/main" id="{807A2093-C665-43B6-882B-5BBABC853A33}"/>
            </a:ext>
          </a:extLst>
        </xdr:cNvPr>
        <xdr:cNvSpPr/>
      </xdr:nvSpPr>
      <xdr:spPr>
        <a:xfrm>
          <a:off x="2079625" y="12138025"/>
          <a:ext cx="12309475" cy="405606"/>
        </a:xfrm>
        <a:prstGeom prst="rect">
          <a:avLst/>
        </a:prstGeom>
        <a:solidFill>
          <a:srgbClr val="1F6B9A"/>
        </a:solidFill>
        <a:ln w="25400" cap="flat" cmpd="sng" algn="ctr">
          <a:solidFill>
            <a:srgbClr val="004269"/>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0" lang="en-US" sz="1400" b="1" i="0" u="none" strike="noStrike" kern="0" cap="none" spc="0" normalizeH="0" baseline="0" noProof="0">
              <a:ln>
                <a:noFill/>
              </a:ln>
              <a:solidFill>
                <a:srgbClr val="FFFFFF"/>
              </a:solidFill>
              <a:effectLst/>
              <a:uLnTx/>
              <a:uFillTx/>
              <a:latin typeface="Aptos Narrow" panose="02110004020202020204"/>
            </a:rPr>
            <a:t>▶  GENERATE PPO</a:t>
          </a:r>
        </a:p>
      </xdr:txBody>
    </xdr:sp>
    <xdr:clientData/>
  </xdr:twoCellAnchor>
  <xdr:twoCellAnchor>
    <xdr:from>
      <xdr:col>2</xdr:col>
      <xdr:colOff>25400</xdr:colOff>
      <xdr:row>58</xdr:row>
      <xdr:rowOff>25400</xdr:rowOff>
    </xdr:from>
    <xdr:to>
      <xdr:col>2</xdr:col>
      <xdr:colOff>3784600</xdr:colOff>
      <xdr:row>58</xdr:row>
      <xdr:rowOff>329406</xdr:rowOff>
    </xdr:to>
    <xdr:sp macro="[0]!SearchPPO" textlink="">
      <xdr:nvSpPr>
        <xdr:cNvPr id="2" name="btnLoadPPO" descr="Load PPO">
          <a:extLst>
            <a:ext uri="{FF2B5EF4-FFF2-40B4-BE49-F238E27FC236}">
              <a16:creationId xmlns:a16="http://schemas.microsoft.com/office/drawing/2014/main" id="{659B38DD-C7A5-4C81-B217-5DA895A329E8}"/>
            </a:ext>
          </a:extLst>
        </xdr:cNvPr>
        <xdr:cNvSpPr/>
      </xdr:nvSpPr>
      <xdr:spPr>
        <a:xfrm>
          <a:off x="5892800" y="13160375"/>
          <a:ext cx="3759200" cy="304006"/>
        </a:xfrm>
        <a:prstGeom prst="rect">
          <a:avLst/>
        </a:prstGeom>
        <a:solidFill>
          <a:srgbClr val="1F6B3A"/>
        </a:solidFill>
        <a:ln w="12700" cap="flat" cmpd="sng" algn="ctr">
          <a:solidFill>
            <a:srgbClr val="1F6B3A"/>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kumimoji="0" lang="en-US" sz="1100" b="1" i="0" u="none" strike="noStrike" kern="0" cap="none" spc="0" normalizeH="0" baseline="0" noProof="0">
              <a:ln>
                <a:noFill/>
              </a:ln>
              <a:solidFill>
                <a:srgbClr val="FFFFFF"/>
              </a:solidFill>
              <a:effectLst/>
              <a:uLnTx/>
              <a:uFillTx/>
              <a:latin typeface="Aptos Narrow" panose="02110004020202020204"/>
            </a:rPr>
            <a:t>▶  LOAD PPO</a:t>
          </a:r>
        </a:p>
      </xdr:txBody>
    </xdr:sp>
    <xdr:clientData/>
  </xdr:twoCellAnchor>
  <xdr:twoCellAnchor>
    <xdr:from>
      <xdr:col>3</xdr:col>
      <xdr:colOff>25400</xdr:colOff>
      <xdr:row>58</xdr:row>
      <xdr:rowOff>25400</xdr:rowOff>
    </xdr:from>
    <xdr:to>
      <xdr:col>3</xdr:col>
      <xdr:colOff>993775</xdr:colOff>
      <xdr:row>58</xdr:row>
      <xdr:rowOff>329406</xdr:rowOff>
    </xdr:to>
    <xdr:sp macro="[0]!SavePPO" textlink="">
      <xdr:nvSpPr>
        <xdr:cNvPr id="3" name="btnSavePPO" descr="Save Changes">
          <a:extLst>
            <a:ext uri="{FF2B5EF4-FFF2-40B4-BE49-F238E27FC236}">
              <a16:creationId xmlns:a16="http://schemas.microsoft.com/office/drawing/2014/main" id="{B077BE82-1FDA-426D-AFAB-9EEDE2649A8E}"/>
            </a:ext>
          </a:extLst>
        </xdr:cNvPr>
        <xdr:cNvSpPr/>
      </xdr:nvSpPr>
      <xdr:spPr>
        <a:xfrm>
          <a:off x="9702800" y="13160375"/>
          <a:ext cx="968375" cy="304006"/>
        </a:xfrm>
        <a:prstGeom prst="rect">
          <a:avLst/>
        </a:prstGeom>
        <a:solidFill>
          <a:srgbClr val="B8860B"/>
        </a:solidFill>
        <a:ln w="12700" cap="flat" cmpd="sng" algn="ctr">
          <a:solidFill>
            <a:srgbClr val="B8860B"/>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kumimoji="0" lang="en-US" sz="1100" b="1" i="0" u="none" strike="noStrike" kern="0" cap="none" spc="0" normalizeH="0" baseline="0" noProof="0">
              <a:ln>
                <a:noFill/>
              </a:ln>
              <a:solidFill>
                <a:srgbClr val="FFFFFF"/>
              </a:solidFill>
              <a:effectLst/>
              <a:uLnTx/>
              <a:uFillTx/>
              <a:latin typeface="Aptos Narrow" panose="02110004020202020204"/>
            </a:rPr>
            <a:t>▶  SAVE CHANGES</a:t>
          </a:r>
        </a:p>
      </xdr:txBody>
    </xdr:sp>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604" totalsRowShown="0">
  <autoFilter ref="A1:W604" xr:uid="{00000000-0009-0000-0100-000001000000}"/>
  <tableColumns count="23">
    <tableColumn id="1" xr3:uid="{00000000-0010-0000-0000-000001000000}" name="Item No." dataDxfId="0"/>
    <tableColumn id="2" xr3:uid="{00000000-0010-0000-0000-000002000000}" name="Item Description"/>
    <tableColumn id="3" xr3:uid="{00000000-0010-0000-0000-000003000000}" name="In Stock"/>
    <tableColumn id="4" xr3:uid="{00000000-0010-0000-0000-000004000000}" name="Default Warehouse"/>
    <tableColumn id="5" xr3:uid="{00000000-0010-0000-0000-000005000000}" name="Last Purchase Date"/>
    <tableColumn id="6" xr3:uid="{00000000-0010-0000-0000-000006000000}" name="Qty Ordered by Customers"/>
    <tableColumn id="7" xr3:uid="{00000000-0010-0000-0000-000007000000}" name="ABC Classification"/>
    <tableColumn id="8" xr3:uid="{00000000-0010-0000-0000-000008000000}" name="Qty Ordered from Vendors"/>
    <tableColumn id="9" xr3:uid="{00000000-0010-0000-0000-000009000000}" name="Column1"/>
    <tableColumn id="10" xr3:uid="{00000000-0010-0000-0000-00000A000000}" name="Property 1"/>
    <tableColumn id="11" xr3:uid="{00000000-0010-0000-0000-00000B000000}" name="Property 2"/>
    <tableColumn id="12" xr3:uid="{00000000-0010-0000-0000-00000C000000}" name="Height 1 - UoM for Purchasing"/>
    <tableColumn id="13" xr3:uid="{00000000-0010-0000-0000-00000D000000}" name="Length 1 - UoM for Purchasing"/>
    <tableColumn id="14" xr3:uid="{00000000-0010-0000-0000-00000E000000}" name="Width 1 - UoM for Purchasing"/>
    <tableColumn id="15" xr3:uid="{00000000-0010-0000-0000-00000F000000}" name="Weight 1 - UoM for Purchasing"/>
    <tableColumn id="16" xr3:uid="{00000000-0010-0000-0000-000010000000}" name="Superseding Item"/>
    <tableColumn id="17" xr3:uid="{00000000-0010-0000-0000-000011000000}" name="UPC Inner Carton Quantity"/>
    <tableColumn id="18" xr3:uid="{00000000-0010-0000-0000-000012000000}" name="UPC Master Carton Quantity"/>
    <tableColumn id="19" xr3:uid="{00000000-0010-0000-0000-000013000000}" name="M/Carton Volume (Inches)"/>
    <tableColumn id="20" xr3:uid="{00000000-0010-0000-0000-000014000000}" name="Issue Price"/>
    <tableColumn id="21" xr3:uid="{00000000-0010-0000-0000-000015000000}" name="Height 1 - Purchasing Unit"/>
    <tableColumn id="22" xr3:uid="{00000000-0010-0000-0000-000016000000}" name="Inactive"/>
    <tableColumn id="24" xr3:uid="{00000000-0010-0000-0000-000018000000}" name="Branc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1FAD268-742E-4F6F-B82C-D4EF60FB5FA0}">
  <we:reference id="wa200009404" version="1.0.0.8" store="en-US" storeType="OMEX"/>
  <we:alternateReferences>
    <we:reference id="WA200009404" version="1.0.0.8" store="WA200009404" storeType="OMEX"/>
  </we:alternateReferences>
  <we:properties>
    <we:property name="claude.fileId" value="&quot;4d14f297-e445-4591-a402-d43e3d6bc009&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hyperlink" Target="mailto:supplychain@michaeltoddbeauty.com" TargetMode="External"/><Relationship Id="rId2" Type="http://schemas.openxmlformats.org/officeDocument/2006/relationships/hyperlink" Target="mailto:supplychain@michaeltoddbeauty.com" TargetMode="External"/><Relationship Id="rId1" Type="http://schemas.openxmlformats.org/officeDocument/2006/relationships/hyperlink" Target="mailto:supplychain@michaeltoddbeauty.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C0C0"/>
    <pageSetUpPr fitToPage="1"/>
  </sheetPr>
  <dimension ref="B1:Q68"/>
  <sheetViews>
    <sheetView showGridLines="0" topLeftCell="D20" zoomScaleNormal="100" workbookViewId="0">
      <selection activeCell="B5" sqref="B5:B8"/>
    </sheetView>
  </sheetViews>
  <sheetFormatPr defaultRowHeight="15"/>
  <cols>
    <col min="1" max="1" width="0.7109375" customWidth="1"/>
    <col min="2" max="2" width="9.5703125" customWidth="1"/>
    <col min="3" max="3" width="5.28515625" customWidth="1"/>
    <col min="4" max="5" width="12.140625" customWidth="1"/>
    <col min="6" max="6" width="11.42578125" customWidth="1"/>
    <col min="7" max="10" width="2.7109375" customWidth="1"/>
    <col min="11" max="11" width="9.5703125" customWidth="1"/>
    <col min="12" max="12" width="11.42578125" customWidth="1"/>
    <col min="13" max="13" width="12.5703125" customWidth="1"/>
    <col min="14" max="14" width="15.5703125" customWidth="1"/>
    <col min="15" max="15" width="12.5703125" customWidth="1"/>
    <col min="16" max="16" width="8.7109375" customWidth="1"/>
    <col min="17" max="17" width="12.5703125" customWidth="1"/>
  </cols>
  <sheetData>
    <row r="1" spans="2:17" ht="8.1" customHeight="1"/>
    <row r="2" spans="2:17" ht="8.1" customHeight="1"/>
    <row r="3" spans="2:17" ht="8.1" customHeight="1"/>
    <row r="4" spans="2:17" ht="27.95" customHeight="1" thickBot="1">
      <c r="B4" s="255" t="s">
        <v>61</v>
      </c>
      <c r="C4" s="253"/>
      <c r="D4" s="253"/>
      <c r="E4" s="253"/>
      <c r="F4" s="253"/>
      <c r="G4" s="19"/>
      <c r="H4" s="25"/>
      <c r="I4" s="26"/>
      <c r="J4" s="26"/>
      <c r="K4" s="26"/>
      <c r="L4" s="26"/>
      <c r="M4" s="26"/>
      <c r="O4" s="153" t="s">
        <v>62</v>
      </c>
      <c r="P4" s="27"/>
      <c r="Q4" s="28"/>
    </row>
    <row r="5" spans="2:17" ht="21.95" customHeight="1">
      <c r="B5" s="63" t="s">
        <v>63</v>
      </c>
      <c r="C5" s="241"/>
      <c r="D5" s="64"/>
      <c r="E5" s="15"/>
      <c r="F5" s="15"/>
      <c r="G5" s="30"/>
      <c r="H5" s="31"/>
      <c r="I5" s="15"/>
      <c r="J5" s="15"/>
      <c r="K5" s="15"/>
      <c r="L5" s="15"/>
      <c r="M5" s="15"/>
      <c r="N5" s="15"/>
      <c r="O5" s="15"/>
      <c r="P5" s="15"/>
      <c r="Q5" s="2"/>
    </row>
    <row r="6" spans="2:17" ht="18" customHeight="1">
      <c r="B6" s="154" t="s">
        <v>64</v>
      </c>
      <c r="C6" s="21"/>
      <c r="D6" s="32"/>
      <c r="E6" s="21"/>
      <c r="F6" s="21"/>
      <c r="G6" s="30"/>
      <c r="H6" s="31"/>
      <c r="I6" s="15"/>
      <c r="J6" s="15"/>
      <c r="K6" s="15"/>
      <c r="L6" s="15"/>
      <c r="M6" s="15"/>
      <c r="N6" s="183" t="s">
        <v>65</v>
      </c>
      <c r="O6" s="183" t="s">
        <v>66</v>
      </c>
      <c r="P6" s="21"/>
      <c r="Q6" s="32"/>
    </row>
    <row r="7" spans="2:17" ht="18" customHeight="1">
      <c r="B7" s="154" t="s">
        <v>67</v>
      </c>
      <c r="C7" s="21"/>
      <c r="D7" s="32"/>
      <c r="E7" s="21"/>
      <c r="F7" s="21"/>
      <c r="G7" s="33"/>
      <c r="H7" s="15"/>
      <c r="I7" s="15"/>
      <c r="J7" s="15"/>
      <c r="K7" s="15"/>
      <c r="L7" s="15"/>
      <c r="M7" s="15"/>
      <c r="N7" s="184" t="s">
        <v>4</v>
      </c>
      <c r="O7" s="185">
        <f ca="1">TODAY()</f>
        <v>46115</v>
      </c>
      <c r="P7" s="16"/>
      <c r="Q7" s="32"/>
    </row>
    <row r="8" spans="2:17" ht="18" customHeight="1" thickBot="1">
      <c r="B8" s="155" t="s">
        <v>68</v>
      </c>
      <c r="C8" s="65"/>
      <c r="D8" s="66"/>
      <c r="E8" s="33"/>
      <c r="F8" s="33"/>
      <c r="G8" s="33"/>
      <c r="H8" s="15"/>
      <c r="I8" s="15"/>
      <c r="J8" s="15"/>
      <c r="K8" s="15"/>
      <c r="L8" s="15"/>
      <c r="M8" s="15"/>
      <c r="N8" s="183"/>
      <c r="O8" s="186"/>
      <c r="P8" s="16"/>
      <c r="Q8" s="32"/>
    </row>
    <row r="9" spans="2:17" ht="18" customHeight="1" thickBot="1">
      <c r="B9" s="291"/>
      <c r="C9" s="265"/>
      <c r="D9" s="265"/>
      <c r="E9" s="265"/>
      <c r="F9" s="265"/>
      <c r="G9" s="15"/>
      <c r="H9" s="15"/>
      <c r="I9" s="15"/>
      <c r="J9" s="15"/>
      <c r="K9" s="15"/>
      <c r="L9" s="15"/>
      <c r="M9" s="15"/>
      <c r="N9" s="184" t="s">
        <v>69</v>
      </c>
      <c r="O9" s="184">
        <v>3143</v>
      </c>
      <c r="P9" s="16"/>
      <c r="Q9" s="32"/>
    </row>
    <row r="10" spans="2:17" ht="18" customHeight="1" thickBot="1">
      <c r="B10" s="242" t="s">
        <v>70</v>
      </c>
      <c r="C10" s="243" t="s">
        <v>71</v>
      </c>
      <c r="D10" s="67"/>
      <c r="E10" s="15"/>
      <c r="F10" s="15"/>
      <c r="G10" s="15"/>
      <c r="H10" s="15"/>
      <c r="I10" s="15"/>
      <c r="J10" s="15"/>
      <c r="K10" s="15"/>
      <c r="L10" s="15"/>
      <c r="M10" s="15"/>
      <c r="N10" s="184" t="s">
        <v>72</v>
      </c>
      <c r="O10" s="184"/>
      <c r="P10" s="16"/>
      <c r="Q10" s="32"/>
    </row>
    <row r="11" spans="2:17" ht="3.95" customHeight="1">
      <c r="B11" s="244"/>
      <c r="C11" s="34"/>
      <c r="D11" s="35"/>
      <c r="E11" s="34"/>
      <c r="F11" s="34"/>
      <c r="G11" s="34"/>
      <c r="H11" s="15"/>
      <c r="I11" s="15"/>
      <c r="J11" s="15"/>
      <c r="K11" s="15"/>
      <c r="L11" s="15"/>
      <c r="M11" s="15"/>
      <c r="N11" s="187"/>
      <c r="O11" s="188"/>
      <c r="P11" s="21"/>
      <c r="Q11" s="32"/>
    </row>
    <row r="12" spans="2:17" ht="21.95" customHeight="1">
      <c r="B12" s="255" t="s">
        <v>73</v>
      </c>
      <c r="C12" s="253"/>
      <c r="D12" s="253"/>
      <c r="E12" s="253"/>
      <c r="F12" s="253"/>
      <c r="G12" s="36"/>
      <c r="H12" s="15"/>
      <c r="I12" s="15"/>
      <c r="J12" s="15"/>
      <c r="K12" s="15"/>
      <c r="L12" s="75" t="s">
        <v>74</v>
      </c>
      <c r="M12" s="75"/>
      <c r="N12" s="61"/>
      <c r="O12" s="61"/>
      <c r="P12" s="61"/>
      <c r="Q12" s="62"/>
    </row>
    <row r="13" spans="2:17" ht="21.95" customHeight="1">
      <c r="B13" s="1" t="s">
        <v>13</v>
      </c>
      <c r="C13" s="19"/>
      <c r="D13" s="37"/>
      <c r="E13" s="19"/>
      <c r="F13" s="21"/>
      <c r="G13" s="15"/>
      <c r="H13" s="15"/>
      <c r="I13" s="15"/>
      <c r="J13" s="15"/>
      <c r="K13" s="15"/>
      <c r="L13" s="215"/>
      <c r="M13" s="215"/>
      <c r="N13" s="216"/>
      <c r="O13" s="216"/>
      <c r="P13" s="216"/>
      <c r="Q13" s="217"/>
    </row>
    <row r="14" spans="2:17" ht="18" customHeight="1">
      <c r="B14" s="156" t="s">
        <v>75</v>
      </c>
      <c r="C14" s="38"/>
      <c r="D14" s="39"/>
      <c r="E14" s="40"/>
      <c r="F14" s="30"/>
      <c r="G14" s="15"/>
      <c r="H14" s="15"/>
      <c r="I14" s="15"/>
      <c r="J14" s="15"/>
      <c r="K14" s="15"/>
      <c r="L14" s="215"/>
      <c r="M14" s="215"/>
      <c r="N14" s="218"/>
      <c r="O14" s="218"/>
      <c r="P14" s="218"/>
      <c r="Q14" s="219"/>
    </row>
    <row r="15" spans="2:17" ht="18" customHeight="1">
      <c r="B15" s="157" t="s">
        <v>76</v>
      </c>
      <c r="C15" s="41"/>
      <c r="D15" s="39"/>
      <c r="E15" s="40"/>
      <c r="F15" s="30"/>
      <c r="G15" s="15"/>
      <c r="H15" s="15"/>
      <c r="I15" s="15"/>
      <c r="J15" s="15"/>
      <c r="K15" s="15"/>
      <c r="L15" s="215"/>
      <c r="M15" s="215"/>
      <c r="N15" s="218"/>
      <c r="O15" s="218"/>
      <c r="P15" s="218"/>
      <c r="Q15" s="219"/>
    </row>
    <row r="16" spans="2:17" ht="18" customHeight="1">
      <c r="B16" s="158" t="s">
        <v>1099</v>
      </c>
      <c r="C16" s="42"/>
      <c r="D16" s="42"/>
      <c r="E16" s="42"/>
      <c r="F16" s="33"/>
      <c r="G16" s="15"/>
      <c r="H16" s="15"/>
      <c r="I16" s="15"/>
      <c r="J16" s="15"/>
      <c r="K16" s="15"/>
      <c r="L16" s="215"/>
      <c r="M16" s="215"/>
      <c r="N16" s="215"/>
      <c r="O16" s="215"/>
      <c r="P16" s="215"/>
      <c r="Q16" s="220"/>
    </row>
    <row r="17" spans="2:17" ht="18" customHeight="1">
      <c r="B17" s="156">
        <v>315201</v>
      </c>
      <c r="C17" s="42"/>
      <c r="D17" s="42"/>
      <c r="E17" s="42"/>
      <c r="F17" s="33"/>
      <c r="G17" s="15"/>
      <c r="H17" s="15"/>
      <c r="I17" s="15"/>
      <c r="J17" s="15"/>
      <c r="K17" s="15"/>
      <c r="L17" s="215"/>
      <c r="M17" s="215"/>
      <c r="N17" s="221"/>
      <c r="O17" s="222"/>
      <c r="P17" s="222"/>
      <c r="Q17" s="223"/>
    </row>
    <row r="18" spans="2:17" ht="18" customHeight="1">
      <c r="B18" s="159" t="s">
        <v>70</v>
      </c>
      <c r="C18" s="160" t="s">
        <v>78</v>
      </c>
      <c r="D18" s="19"/>
      <c r="E18" s="19"/>
      <c r="F18" s="21"/>
      <c r="G18" s="44"/>
      <c r="H18" s="15"/>
      <c r="I18" s="15"/>
      <c r="J18" s="15"/>
      <c r="K18" s="15"/>
      <c r="L18" s="215"/>
      <c r="M18" s="215"/>
      <c r="N18" s="222"/>
      <c r="O18" s="222"/>
      <c r="P18" s="222"/>
      <c r="Q18" s="223"/>
    </row>
    <row r="19" spans="2:17" ht="21.95" customHeight="1">
      <c r="B19" s="262" t="s">
        <v>79</v>
      </c>
      <c r="C19" s="253"/>
      <c r="D19" s="253"/>
      <c r="E19" s="253"/>
      <c r="F19" s="253"/>
      <c r="G19" s="253"/>
      <c r="H19" s="253"/>
      <c r="I19" s="253"/>
      <c r="J19" s="253"/>
      <c r="K19" s="253"/>
      <c r="L19" s="253"/>
      <c r="M19" s="253"/>
      <c r="N19" s="253"/>
      <c r="O19" s="253"/>
      <c r="P19" s="253"/>
      <c r="Q19" s="263"/>
    </row>
    <row r="20" spans="2:17" ht="6" customHeight="1" thickBot="1">
      <c r="B20" s="17"/>
      <c r="C20" s="45"/>
      <c r="D20" s="46"/>
      <c r="E20" s="45"/>
      <c r="F20" s="45"/>
      <c r="G20" s="45"/>
      <c r="H20" s="45"/>
      <c r="I20" s="45"/>
      <c r="J20" s="45"/>
      <c r="K20" s="45"/>
      <c r="L20" s="45"/>
      <c r="M20" s="45"/>
      <c r="N20" s="45"/>
      <c r="O20" s="45"/>
      <c r="P20" s="45"/>
      <c r="Q20" s="47"/>
    </row>
    <row r="21" spans="2:17" ht="20.100000000000001" customHeight="1">
      <c r="B21" s="17"/>
      <c r="C21" s="18"/>
      <c r="E21" s="161" t="s">
        <v>80</v>
      </c>
      <c r="F21" s="164">
        <v>46161</v>
      </c>
      <c r="G21" s="21"/>
      <c r="H21" s="21"/>
      <c r="I21" s="43"/>
      <c r="M21" s="168" t="s">
        <v>81</v>
      </c>
      <c r="N21" s="171">
        <v>50</v>
      </c>
      <c r="O21" s="68"/>
      <c r="P21" s="68"/>
      <c r="Q21" s="76"/>
    </row>
    <row r="22" spans="2:17" ht="20.100000000000001" customHeight="1">
      <c r="B22" s="3"/>
      <c r="C22" s="19"/>
      <c r="E22" s="162" t="s">
        <v>20</v>
      </c>
      <c r="F22" s="165"/>
      <c r="G22" s="21"/>
      <c r="H22" s="21"/>
      <c r="I22" s="43"/>
      <c r="M22" s="169" t="s">
        <v>82</v>
      </c>
      <c r="N22" s="172" t="s">
        <v>83</v>
      </c>
      <c r="O22" s="70"/>
      <c r="P22" s="70"/>
      <c r="Q22" s="77"/>
    </row>
    <row r="23" spans="2:17" ht="20.100000000000001" customHeight="1">
      <c r="B23" s="17"/>
      <c r="C23" s="20"/>
      <c r="E23" s="162" t="s">
        <v>21</v>
      </c>
      <c r="F23" s="166"/>
      <c r="G23" s="21"/>
      <c r="H23" s="21"/>
      <c r="I23" s="43"/>
      <c r="M23" s="169" t="s">
        <v>84</v>
      </c>
      <c r="N23" s="173">
        <f>SUM(P35:P47)</f>
        <v>98.110746999999975</v>
      </c>
      <c r="O23" s="68"/>
      <c r="P23" s="68"/>
      <c r="Q23" s="76"/>
    </row>
    <row r="24" spans="2:17" ht="20.100000000000001" customHeight="1" thickBot="1">
      <c r="B24" s="17"/>
      <c r="C24" s="19"/>
      <c r="E24" s="163" t="s">
        <v>85</v>
      </c>
      <c r="F24" s="167" t="s">
        <v>18</v>
      </c>
      <c r="G24" s="21"/>
      <c r="H24" s="21"/>
      <c r="I24" s="43"/>
      <c r="M24" s="169" t="s">
        <v>86</v>
      </c>
      <c r="N24" s="174">
        <f>SUM(O35:O48)</f>
        <v>1671</v>
      </c>
      <c r="O24" s="72"/>
      <c r="P24" s="72"/>
      <c r="Q24" s="73"/>
    </row>
    <row r="25" spans="2:17" ht="20.100000000000001" customHeight="1">
      <c r="B25" s="288"/>
      <c r="C25" s="253"/>
      <c r="D25" s="253"/>
      <c r="E25" s="264"/>
      <c r="F25" s="265"/>
      <c r="G25" s="265"/>
      <c r="H25" s="265"/>
      <c r="I25" s="43"/>
      <c r="M25" s="170" t="s">
        <v>1098</v>
      </c>
      <c r="N25" s="175">
        <v>366285</v>
      </c>
      <c r="O25" s="71"/>
      <c r="P25" s="71"/>
      <c r="Q25" s="78"/>
    </row>
    <row r="26" spans="2:17" ht="20.100000000000001" customHeight="1" thickBot="1">
      <c r="B26" s="288"/>
      <c r="C26" s="253"/>
      <c r="D26" s="253"/>
      <c r="E26" s="264"/>
      <c r="F26" s="265"/>
      <c r="G26" s="265"/>
      <c r="H26" s="265"/>
      <c r="I26" s="43"/>
      <c r="M26" s="163" t="s">
        <v>88</v>
      </c>
      <c r="N26" s="176" t="s">
        <v>89</v>
      </c>
      <c r="O26" s="69"/>
      <c r="P26" s="69"/>
      <c r="Q26" s="79"/>
    </row>
    <row r="27" spans="2:17" ht="6" customHeight="1">
      <c r="B27" s="294"/>
      <c r="C27" s="265"/>
      <c r="D27" s="265"/>
      <c r="E27" s="264"/>
      <c r="F27" s="265"/>
      <c r="G27" s="265"/>
      <c r="H27" s="265"/>
      <c r="I27" s="43"/>
      <c r="J27" s="290"/>
      <c r="K27" s="265"/>
      <c r="L27" s="43"/>
      <c r="M27" s="43"/>
      <c r="N27" s="269"/>
      <c r="O27" s="265"/>
      <c r="P27" s="265"/>
      <c r="Q27" s="270"/>
    </row>
    <row r="28" spans="2:17" ht="21.95" customHeight="1">
      <c r="B28" s="262" t="s">
        <v>90</v>
      </c>
      <c r="C28" s="253"/>
      <c r="D28" s="253"/>
      <c r="E28" s="253"/>
      <c r="F28" s="253"/>
      <c r="G28" s="253"/>
      <c r="H28" s="253"/>
      <c r="I28" s="253"/>
      <c r="J28" s="253"/>
      <c r="K28" s="253"/>
      <c r="L28" s="253"/>
      <c r="M28" s="253"/>
      <c r="N28" s="253"/>
      <c r="O28" s="253"/>
      <c r="P28" s="253"/>
      <c r="Q28" s="263"/>
    </row>
    <row r="29" spans="2:17" ht="6" customHeight="1">
      <c r="B29" s="3"/>
      <c r="C29" s="48"/>
      <c r="D29" s="49"/>
      <c r="E29" s="48"/>
      <c r="F29" s="48"/>
      <c r="G29" s="48"/>
      <c r="H29" s="48"/>
      <c r="I29" s="48"/>
      <c r="J29" s="48"/>
      <c r="K29" s="48"/>
      <c r="L29" s="48"/>
      <c r="M29" s="48"/>
      <c r="N29" s="48"/>
      <c r="O29" s="48"/>
      <c r="P29" s="48"/>
      <c r="Q29" s="73"/>
    </row>
    <row r="30" spans="2:17" ht="20.100000000000001" customHeight="1">
      <c r="B30" s="3"/>
      <c r="C30" s="23"/>
      <c r="D30" s="177" t="s">
        <v>23</v>
      </c>
      <c r="E30" s="178" t="s">
        <v>91</v>
      </c>
      <c r="F30" s="16"/>
      <c r="G30" s="21"/>
      <c r="H30" s="21"/>
      <c r="I30" s="43"/>
      <c r="K30" s="177" t="s">
        <v>24</v>
      </c>
      <c r="L30" s="179" t="s">
        <v>92</v>
      </c>
      <c r="M30" s="80"/>
      <c r="N30" s="43"/>
      <c r="O30" s="43"/>
      <c r="P30" s="43"/>
      <c r="Q30" s="73"/>
    </row>
    <row r="31" spans="2:17" ht="6" customHeight="1">
      <c r="B31" s="4"/>
      <c r="C31" s="24"/>
      <c r="D31" s="50"/>
      <c r="E31" s="51"/>
      <c r="F31" s="51"/>
      <c r="G31" s="51"/>
      <c r="H31" s="51"/>
      <c r="I31" s="43"/>
      <c r="J31" s="52"/>
      <c r="K31" s="52"/>
      <c r="L31" s="53"/>
      <c r="M31" s="53"/>
      <c r="N31" s="53"/>
      <c r="O31" s="53"/>
      <c r="P31" s="53"/>
      <c r="Q31" s="73"/>
    </row>
    <row r="32" spans="2:17" ht="20.100000000000001" customHeight="1">
      <c r="B32" s="3"/>
      <c r="C32" s="19"/>
      <c r="D32" s="180" t="s">
        <v>25</v>
      </c>
      <c r="E32" s="181" t="s">
        <v>93</v>
      </c>
      <c r="F32" s="16"/>
      <c r="G32" s="21"/>
      <c r="H32" s="21"/>
      <c r="I32" s="21"/>
      <c r="K32" s="180" t="s">
        <v>94</v>
      </c>
      <c r="L32" s="182"/>
      <c r="M32" s="74"/>
      <c r="N32" s="21"/>
      <c r="O32" s="21"/>
      <c r="P32" s="21"/>
      <c r="Q32" s="73"/>
    </row>
    <row r="33" spans="2:17" ht="6" customHeight="1">
      <c r="B33" s="3"/>
      <c r="C33" s="15"/>
      <c r="D33" s="29"/>
      <c r="E33" s="15"/>
      <c r="F33" s="15"/>
      <c r="G33" s="15"/>
      <c r="H33" s="15"/>
      <c r="I33" s="15"/>
      <c r="J33" s="15"/>
      <c r="K33" s="15"/>
      <c r="L33" s="15"/>
      <c r="M33" s="15"/>
      <c r="N33" s="15"/>
      <c r="O33" s="15"/>
      <c r="P33" s="15"/>
      <c r="Q33" s="73"/>
    </row>
    <row r="34" spans="2:17" ht="21.95" customHeight="1">
      <c r="B34" s="266" t="s">
        <v>41</v>
      </c>
      <c r="C34" s="267"/>
      <c r="D34" s="268"/>
      <c r="E34" s="289" t="s">
        <v>95</v>
      </c>
      <c r="F34" s="267"/>
      <c r="G34" s="267"/>
      <c r="H34" s="267"/>
      <c r="I34" s="267"/>
      <c r="J34" s="267"/>
      <c r="K34" s="267"/>
      <c r="L34" s="268"/>
      <c r="M34" s="189"/>
      <c r="N34" s="189" t="s">
        <v>42</v>
      </c>
      <c r="O34" s="190" t="s">
        <v>96</v>
      </c>
      <c r="P34" s="189" t="s">
        <v>97</v>
      </c>
      <c r="Q34" s="191" t="s">
        <v>98</v>
      </c>
    </row>
    <row r="35" spans="2:17" ht="20.100000000000001" customHeight="1">
      <c r="B35" s="271">
        <v>811573031342</v>
      </c>
      <c r="C35" s="257"/>
      <c r="D35" s="258"/>
      <c r="E35" s="256" t="s">
        <v>99</v>
      </c>
      <c r="F35" s="257"/>
      <c r="G35" s="257"/>
      <c r="H35" s="257"/>
      <c r="I35" s="257"/>
      <c r="J35" s="257"/>
      <c r="K35" s="257"/>
      <c r="L35" s="258"/>
      <c r="M35" s="224"/>
      <c r="N35" s="225">
        <v>34245</v>
      </c>
      <c r="O35" s="226">
        <f>N35/45</f>
        <v>761</v>
      </c>
      <c r="P35" s="226">
        <f>0.074907*O35</f>
        <v>57.004227</v>
      </c>
      <c r="Q35" s="239" t="s">
        <v>100</v>
      </c>
    </row>
    <row r="36" spans="2:17" ht="20.100000000000001" customHeight="1">
      <c r="B36" s="259">
        <v>811573031090</v>
      </c>
      <c r="C36" s="260"/>
      <c r="D36" s="261"/>
      <c r="E36" s="272" t="s">
        <v>101</v>
      </c>
      <c r="F36" s="260"/>
      <c r="G36" s="260"/>
      <c r="H36" s="260"/>
      <c r="I36" s="260"/>
      <c r="J36" s="260"/>
      <c r="K36" s="260"/>
      <c r="L36" s="261"/>
      <c r="M36" s="5"/>
      <c r="N36" s="192">
        <v>16254</v>
      </c>
      <c r="O36" s="193">
        <f>N36/54</f>
        <v>301</v>
      </c>
      <c r="P36" s="193">
        <f>O36*0.037</f>
        <v>11.136999999999999</v>
      </c>
      <c r="Q36" s="194" t="s">
        <v>100</v>
      </c>
    </row>
    <row r="37" spans="2:17" ht="20.100000000000001" customHeight="1">
      <c r="B37" s="271">
        <v>811573031335</v>
      </c>
      <c r="C37" s="257"/>
      <c r="D37" s="258"/>
      <c r="E37" s="256" t="s">
        <v>102</v>
      </c>
      <c r="F37" s="257"/>
      <c r="G37" s="257"/>
      <c r="H37" s="257"/>
      <c r="I37" s="257"/>
      <c r="J37" s="257"/>
      <c r="K37" s="257"/>
      <c r="L37" s="258"/>
      <c r="M37" s="227"/>
      <c r="N37" s="228">
        <v>2508</v>
      </c>
      <c r="O37" s="229">
        <f>N37/12</f>
        <v>209</v>
      </c>
      <c r="P37" s="229">
        <f>O37*0.01</f>
        <v>2.09</v>
      </c>
      <c r="Q37" s="230" t="s">
        <v>100</v>
      </c>
    </row>
    <row r="38" spans="2:17" ht="20.100000000000001" customHeight="1">
      <c r="B38" s="259">
        <v>811573031359</v>
      </c>
      <c r="C38" s="260"/>
      <c r="D38" s="261"/>
      <c r="E38" s="272" t="s">
        <v>103</v>
      </c>
      <c r="F38" s="260"/>
      <c r="G38" s="260"/>
      <c r="H38" s="260"/>
      <c r="I38" s="260"/>
      <c r="J38" s="260"/>
      <c r="K38" s="260"/>
      <c r="L38" s="261"/>
      <c r="M38" s="5"/>
      <c r="N38" s="192">
        <v>10440</v>
      </c>
      <c r="O38" s="193">
        <f>N38/45</f>
        <v>232</v>
      </c>
      <c r="P38" s="193">
        <f>0.074907*O38</f>
        <v>17.378423999999999</v>
      </c>
      <c r="Q38" s="194" t="s">
        <v>100</v>
      </c>
    </row>
    <row r="39" spans="2:17" ht="20.100000000000001" customHeight="1">
      <c r="B39" s="271">
        <v>811573031366</v>
      </c>
      <c r="C39" s="257"/>
      <c r="D39" s="258"/>
      <c r="E39" s="256" t="s">
        <v>104</v>
      </c>
      <c r="F39" s="257"/>
      <c r="G39" s="257"/>
      <c r="H39" s="257"/>
      <c r="I39" s="257"/>
      <c r="J39" s="257"/>
      <c r="K39" s="257"/>
      <c r="L39" s="258"/>
      <c r="M39" s="227"/>
      <c r="N39" s="228">
        <v>5760</v>
      </c>
      <c r="O39" s="229">
        <f>N39/45</f>
        <v>128</v>
      </c>
      <c r="P39" s="229">
        <f>0.074907*O39</f>
        <v>9.5880960000000002</v>
      </c>
      <c r="Q39" s="230" t="s">
        <v>100</v>
      </c>
    </row>
    <row r="40" spans="2:17" ht="20.100000000000001" customHeight="1">
      <c r="B40" s="259">
        <v>811573031113</v>
      </c>
      <c r="C40" s="260"/>
      <c r="D40" s="261"/>
      <c r="E40" s="272" t="s">
        <v>105</v>
      </c>
      <c r="F40" s="260"/>
      <c r="G40" s="260"/>
      <c r="H40" s="260"/>
      <c r="I40" s="260"/>
      <c r="J40" s="260"/>
      <c r="K40" s="260"/>
      <c r="L40" s="261"/>
      <c r="M40" s="5"/>
      <c r="N40" s="192">
        <v>1026</v>
      </c>
      <c r="O40" s="193">
        <f>N40/54</f>
        <v>19</v>
      </c>
      <c r="P40" s="193">
        <f>0.037*O40</f>
        <v>0.70299999999999996</v>
      </c>
      <c r="Q40" s="194" t="s">
        <v>100</v>
      </c>
    </row>
    <row r="41" spans="2:17" ht="20.100000000000001" customHeight="1">
      <c r="B41" s="271">
        <v>859886007692</v>
      </c>
      <c r="C41" s="257"/>
      <c r="D41" s="258"/>
      <c r="E41" s="256" t="s">
        <v>106</v>
      </c>
      <c r="F41" s="257"/>
      <c r="G41" s="257"/>
      <c r="H41" s="257"/>
      <c r="I41" s="257"/>
      <c r="J41" s="257"/>
      <c r="K41" s="257"/>
      <c r="L41" s="258"/>
      <c r="M41" s="227"/>
      <c r="N41" s="228">
        <v>1008</v>
      </c>
      <c r="O41" s="229">
        <v>7</v>
      </c>
      <c r="P41" s="229">
        <f>0.01*O41</f>
        <v>7.0000000000000007E-2</v>
      </c>
      <c r="Q41" s="230" t="s">
        <v>100</v>
      </c>
    </row>
    <row r="42" spans="2:17" ht="20.100000000000001" customHeight="1">
      <c r="B42" s="259">
        <v>859886007685</v>
      </c>
      <c r="C42" s="260"/>
      <c r="D42" s="261"/>
      <c r="E42" s="272" t="s">
        <v>107</v>
      </c>
      <c r="F42" s="260"/>
      <c r="G42" s="260"/>
      <c r="H42" s="260"/>
      <c r="I42" s="260"/>
      <c r="J42" s="260"/>
      <c r="K42" s="260"/>
      <c r="L42" s="261"/>
      <c r="M42" s="5"/>
      <c r="N42" s="192">
        <v>1008</v>
      </c>
      <c r="O42" s="193">
        <v>7</v>
      </c>
      <c r="P42" s="193">
        <f>0.01*O42</f>
        <v>7.0000000000000007E-2</v>
      </c>
      <c r="Q42" s="195" t="s">
        <v>100</v>
      </c>
    </row>
    <row r="43" spans="2:17" ht="20.100000000000001" customHeight="1">
      <c r="B43" s="271">
        <v>859886007791</v>
      </c>
      <c r="C43" s="257"/>
      <c r="D43" s="258"/>
      <c r="E43" s="256" t="s">
        <v>108</v>
      </c>
      <c r="F43" s="257"/>
      <c r="G43" s="257"/>
      <c r="H43" s="257"/>
      <c r="I43" s="257"/>
      <c r="J43" s="257"/>
      <c r="K43" s="257"/>
      <c r="L43" s="258"/>
      <c r="M43" s="227"/>
      <c r="N43" s="228">
        <v>1008</v>
      </c>
      <c r="O43" s="229">
        <v>7</v>
      </c>
      <c r="P43" s="229">
        <f>0.01*O43</f>
        <v>7.0000000000000007E-2</v>
      </c>
      <c r="Q43" s="231" t="s">
        <v>100</v>
      </c>
    </row>
    <row r="44" spans="2:17" ht="20.100000000000001" customHeight="1">
      <c r="B44" s="259"/>
      <c r="C44" s="260"/>
      <c r="D44" s="261"/>
      <c r="E44" s="272"/>
      <c r="F44" s="260"/>
      <c r="G44" s="260"/>
      <c r="H44" s="260"/>
      <c r="I44" s="260"/>
      <c r="J44" s="260"/>
      <c r="K44" s="260"/>
      <c r="L44" s="261"/>
      <c r="M44" s="5"/>
      <c r="N44" s="235"/>
      <c r="O44" s="193"/>
      <c r="P44" s="196"/>
      <c r="Q44" s="195"/>
    </row>
    <row r="45" spans="2:17" ht="20.100000000000001" customHeight="1">
      <c r="B45" s="271"/>
      <c r="C45" s="257"/>
      <c r="D45" s="258"/>
      <c r="E45" s="256"/>
      <c r="F45" s="257"/>
      <c r="G45" s="257"/>
      <c r="H45" s="257"/>
      <c r="I45" s="257"/>
      <c r="J45" s="257"/>
      <c r="K45" s="257"/>
      <c r="L45" s="258"/>
      <c r="M45" s="227"/>
      <c r="N45" s="236"/>
      <c r="O45" s="229"/>
      <c r="P45" s="232"/>
      <c r="Q45" s="231"/>
    </row>
    <row r="46" spans="2:17" ht="20.100000000000001" customHeight="1">
      <c r="B46" s="259"/>
      <c r="C46" s="260"/>
      <c r="D46" s="261"/>
      <c r="E46" s="272"/>
      <c r="F46" s="260"/>
      <c r="G46" s="260"/>
      <c r="H46" s="260"/>
      <c r="I46" s="260"/>
      <c r="J46" s="260"/>
      <c r="K46" s="260"/>
      <c r="L46" s="261"/>
      <c r="M46" s="5"/>
      <c r="N46" s="235"/>
      <c r="O46" s="193"/>
      <c r="P46" s="196"/>
      <c r="Q46" s="195"/>
    </row>
    <row r="47" spans="2:17" ht="20.100000000000001" customHeight="1">
      <c r="B47" s="271"/>
      <c r="C47" s="257"/>
      <c r="D47" s="258"/>
      <c r="E47" s="285"/>
      <c r="F47" s="286"/>
      <c r="G47" s="286"/>
      <c r="H47" s="286"/>
      <c r="I47" s="286"/>
      <c r="J47" s="286"/>
      <c r="K47" s="286"/>
      <c r="L47" s="287"/>
      <c r="M47" s="227"/>
      <c r="N47" s="237"/>
      <c r="O47" s="229"/>
      <c r="P47" s="232"/>
      <c r="Q47" s="233"/>
    </row>
    <row r="48" spans="2:17" ht="20.100000000000001" customHeight="1">
      <c r="B48" s="259"/>
      <c r="C48" s="260"/>
      <c r="D48" s="261"/>
      <c r="E48" s="272"/>
      <c r="F48" s="260"/>
      <c r="G48" s="260"/>
      <c r="H48" s="260"/>
      <c r="I48" s="260"/>
      <c r="J48" s="260"/>
      <c r="K48" s="260"/>
      <c r="L48" s="261"/>
      <c r="M48" s="234"/>
      <c r="N48" s="238"/>
      <c r="O48" s="238"/>
      <c r="P48" s="238"/>
      <c r="Q48" s="240"/>
    </row>
    <row r="49" spans="2:17" ht="21.95" customHeight="1">
      <c r="B49" s="249" t="s">
        <v>109</v>
      </c>
      <c r="C49" s="250"/>
      <c r="D49" s="250"/>
      <c r="E49" s="250"/>
      <c r="F49" s="250"/>
      <c r="G49" s="250"/>
      <c r="H49" s="250"/>
      <c r="I49" s="250"/>
      <c r="J49" s="251"/>
      <c r="K49" s="22"/>
      <c r="L49" s="197" t="s">
        <v>110</v>
      </c>
      <c r="M49" s="197"/>
      <c r="N49" s="198">
        <f>SUM(N35:N48)</f>
        <v>73257</v>
      </c>
      <c r="O49" s="198">
        <f>SUM(O35:O48)</f>
        <v>1671</v>
      </c>
      <c r="P49" s="199">
        <f>SUM(P35:P48)</f>
        <v>98.110746999999975</v>
      </c>
      <c r="Q49" s="200">
        <v>0</v>
      </c>
    </row>
    <row r="50" spans="2:17" ht="20.100000000000001" customHeight="1">
      <c r="B50" s="274" t="s">
        <v>111</v>
      </c>
      <c r="C50" s="253"/>
      <c r="D50" s="253"/>
      <c r="E50" s="253"/>
      <c r="F50" s="253"/>
      <c r="G50" s="253"/>
      <c r="H50" s="253"/>
      <c r="I50" s="253"/>
      <c r="J50" s="254"/>
      <c r="K50" s="54"/>
      <c r="L50" s="197" t="s">
        <v>112</v>
      </c>
      <c r="M50" s="197"/>
      <c r="N50" s="201"/>
      <c r="O50" s="202"/>
      <c r="P50" s="203"/>
      <c r="Q50" s="204"/>
    </row>
    <row r="51" spans="2:17" ht="18" customHeight="1">
      <c r="B51" s="252" t="s">
        <v>50</v>
      </c>
      <c r="C51" s="253"/>
      <c r="D51" s="253"/>
      <c r="E51" s="253"/>
      <c r="F51" s="253"/>
      <c r="G51" s="253"/>
      <c r="H51" s="253"/>
      <c r="I51" s="253"/>
      <c r="J51" s="254"/>
      <c r="K51" s="54"/>
      <c r="L51" s="197" t="s">
        <v>113</v>
      </c>
      <c r="M51" s="197"/>
      <c r="N51" s="201"/>
      <c r="O51" s="202"/>
      <c r="P51" s="203"/>
      <c r="Q51" s="205">
        <v>0</v>
      </c>
    </row>
    <row r="52" spans="2:17" ht="18" customHeight="1">
      <c r="B52" s="295" t="s">
        <v>51</v>
      </c>
      <c r="C52" s="265"/>
      <c r="D52" s="265"/>
      <c r="E52" s="265"/>
      <c r="F52" s="265"/>
      <c r="G52" s="265"/>
      <c r="H52" s="265"/>
      <c r="I52" s="265"/>
      <c r="J52" s="296"/>
      <c r="K52" s="36"/>
      <c r="L52" s="206"/>
      <c r="M52" s="207"/>
      <c r="N52" s="208"/>
      <c r="O52" s="209"/>
      <c r="P52" s="209"/>
      <c r="Q52" s="210"/>
    </row>
    <row r="53" spans="2:17" ht="18" customHeight="1">
      <c r="B53" s="252" t="s">
        <v>52</v>
      </c>
      <c r="C53" s="253"/>
      <c r="D53" s="253"/>
      <c r="E53" s="253"/>
      <c r="F53" s="253"/>
      <c r="G53" s="253"/>
      <c r="H53" s="253"/>
      <c r="I53" s="253"/>
      <c r="J53" s="254"/>
      <c r="K53" s="36"/>
      <c r="L53" s="206"/>
      <c r="M53" s="207"/>
      <c r="N53" s="208"/>
      <c r="O53" s="209"/>
      <c r="P53" s="209"/>
      <c r="Q53" s="210"/>
    </row>
    <row r="54" spans="2:17" ht="18" customHeight="1">
      <c r="B54" s="252" t="s">
        <v>53</v>
      </c>
      <c r="C54" s="253"/>
      <c r="D54" s="253"/>
      <c r="E54" s="253"/>
      <c r="F54" s="253"/>
      <c r="G54" s="253"/>
      <c r="H54" s="253"/>
      <c r="I54" s="253"/>
      <c r="J54" s="254"/>
      <c r="K54" s="36"/>
      <c r="L54" s="206"/>
      <c r="M54" s="207"/>
      <c r="N54" s="208"/>
      <c r="O54" s="209"/>
      <c r="P54" s="209"/>
      <c r="Q54" s="210"/>
    </row>
    <row r="55" spans="2:17" ht="18" customHeight="1">
      <c r="B55" s="252" t="s">
        <v>114</v>
      </c>
      <c r="C55" s="253"/>
      <c r="D55" s="253"/>
      <c r="E55" s="253"/>
      <c r="F55" s="253"/>
      <c r="G55" s="253"/>
      <c r="H55" s="253"/>
      <c r="I55" s="253"/>
      <c r="J55" s="254"/>
      <c r="K55" s="36"/>
      <c r="L55" s="206"/>
      <c r="M55" s="207"/>
      <c r="N55" s="208"/>
      <c r="O55" s="209"/>
      <c r="P55" s="209"/>
      <c r="Q55" s="210"/>
    </row>
    <row r="56" spans="2:17" ht="18" customHeight="1">
      <c r="B56" s="252" t="s">
        <v>55</v>
      </c>
      <c r="C56" s="253"/>
      <c r="D56" s="253"/>
      <c r="E56" s="253"/>
      <c r="F56" s="253"/>
      <c r="G56" s="253"/>
      <c r="H56" s="253"/>
      <c r="I56" s="253"/>
      <c r="J56" s="254"/>
      <c r="K56" s="36"/>
      <c r="L56" s="206"/>
      <c r="M56" s="207"/>
      <c r="N56" s="208"/>
      <c r="O56" s="209"/>
      <c r="P56" s="209"/>
      <c r="Q56" s="210"/>
    </row>
    <row r="57" spans="2:17" ht="18" customHeight="1">
      <c r="B57" s="252" t="s">
        <v>56</v>
      </c>
      <c r="C57" s="253"/>
      <c r="D57" s="253"/>
      <c r="E57" s="253"/>
      <c r="F57" s="253"/>
      <c r="G57" s="253"/>
      <c r="H57" s="253"/>
      <c r="I57" s="253"/>
      <c r="J57" s="254"/>
      <c r="K57" s="36"/>
      <c r="L57" s="206"/>
      <c r="M57" s="207"/>
      <c r="N57" s="208"/>
      <c r="O57" s="209"/>
      <c r="P57" s="209"/>
      <c r="Q57" s="210"/>
    </row>
    <row r="58" spans="2:17" ht="21.95" customHeight="1">
      <c r="B58" s="276"/>
      <c r="C58" s="277"/>
      <c r="D58" s="277"/>
      <c r="E58" s="277"/>
      <c r="F58" s="277"/>
      <c r="G58" s="277"/>
      <c r="H58" s="277"/>
      <c r="I58" s="277"/>
      <c r="J58" s="278"/>
      <c r="K58" s="36"/>
      <c r="L58" s="211" t="s">
        <v>115</v>
      </c>
      <c r="M58" s="211"/>
      <c r="N58" s="212"/>
      <c r="O58" s="213"/>
      <c r="P58" s="213" t="s">
        <v>116</v>
      </c>
      <c r="Q58" s="214">
        <v>0</v>
      </c>
    </row>
    <row r="59" spans="2:17" ht="8.1" customHeight="1">
      <c r="B59" s="6"/>
      <c r="C59" s="36"/>
      <c r="D59" s="55"/>
      <c r="E59" s="36"/>
      <c r="F59" s="36"/>
      <c r="G59" s="36"/>
      <c r="H59" s="36"/>
      <c r="I59" s="36"/>
      <c r="J59" s="36"/>
      <c r="K59" s="36"/>
      <c r="L59" s="36"/>
      <c r="M59" s="36"/>
      <c r="N59" s="15"/>
      <c r="O59" s="15"/>
      <c r="P59" s="15"/>
      <c r="Q59" s="2"/>
    </row>
    <row r="60" spans="2:17" ht="18" customHeight="1">
      <c r="B60" s="292" t="s">
        <v>117</v>
      </c>
      <c r="C60" s="265"/>
      <c r="D60" s="265"/>
      <c r="E60" s="265"/>
      <c r="F60" s="265"/>
      <c r="G60" s="265"/>
      <c r="H60" s="265"/>
      <c r="I60" s="265"/>
      <c r="J60" s="265"/>
      <c r="K60" s="265"/>
      <c r="L60" s="265"/>
      <c r="M60" s="265"/>
      <c r="N60" s="265"/>
      <c r="O60" s="265"/>
      <c r="P60" s="265"/>
      <c r="Q60" s="270"/>
    </row>
    <row r="61" spans="2:17" ht="9.9499999999999993" customHeight="1">
      <c r="B61" s="293"/>
      <c r="C61" s="265"/>
      <c r="D61" s="265"/>
      <c r="E61" s="265"/>
      <c r="F61" s="265"/>
      <c r="G61" s="265"/>
      <c r="H61" s="265"/>
      <c r="I61" s="265"/>
      <c r="J61" s="265"/>
      <c r="K61" s="265"/>
      <c r="L61" s="265"/>
      <c r="M61" s="265"/>
      <c r="N61" s="265"/>
      <c r="O61" s="15"/>
      <c r="P61" s="15"/>
      <c r="Q61" s="2"/>
    </row>
    <row r="62" spans="2:17" ht="18" customHeight="1">
      <c r="B62" s="279" t="s">
        <v>118</v>
      </c>
      <c r="C62" s="280"/>
      <c r="D62" s="280"/>
      <c r="E62" s="280"/>
      <c r="F62" s="280"/>
      <c r="G62" s="281"/>
      <c r="H62" s="56"/>
      <c r="I62" s="56"/>
      <c r="J62" s="15"/>
      <c r="K62" s="15"/>
      <c r="L62" s="15"/>
      <c r="M62" s="15"/>
      <c r="N62" s="7"/>
      <c r="O62" s="7"/>
      <c r="P62" s="7"/>
      <c r="Q62" s="57"/>
    </row>
    <row r="63" spans="2:17" ht="9.9499999999999993" customHeight="1">
      <c r="B63" s="282"/>
      <c r="C63" s="283"/>
      <c r="D63" s="283"/>
      <c r="E63" s="283"/>
      <c r="F63" s="283"/>
      <c r="G63" s="284"/>
      <c r="H63" s="15"/>
      <c r="I63" s="15"/>
      <c r="J63" s="15"/>
      <c r="K63" s="15"/>
      <c r="L63" s="15"/>
      <c r="M63" s="15"/>
      <c r="N63" s="8"/>
      <c r="O63" s="8"/>
      <c r="P63" s="8"/>
      <c r="Q63" s="58"/>
    </row>
    <row r="64" spans="2:17" ht="9.9499999999999993" customHeight="1">
      <c r="B64" s="9"/>
      <c r="C64" s="59"/>
      <c r="D64" s="60"/>
      <c r="E64" s="59"/>
      <c r="F64" s="59"/>
      <c r="G64" s="59"/>
      <c r="H64" s="15"/>
      <c r="I64" s="15"/>
      <c r="J64" s="59"/>
      <c r="K64" s="59"/>
      <c r="L64" s="59"/>
      <c r="M64" s="59"/>
      <c r="N64" s="59"/>
      <c r="O64" s="15"/>
      <c r="P64" s="15"/>
      <c r="Q64" s="2"/>
    </row>
    <row r="65" spans="2:17" ht="15.95" customHeight="1">
      <c r="B65" s="275" t="s">
        <v>119</v>
      </c>
      <c r="C65" s="265"/>
      <c r="D65" s="265"/>
      <c r="E65" s="265"/>
      <c r="F65" s="265"/>
      <c r="G65" s="265"/>
      <c r="H65" s="265"/>
      <c r="I65" s="265"/>
      <c r="J65" s="265"/>
      <c r="K65" s="265"/>
      <c r="L65" s="265"/>
      <c r="M65" s="265"/>
      <c r="N65" s="265"/>
      <c r="O65" s="265"/>
      <c r="P65" s="265"/>
      <c r="Q65" s="270"/>
    </row>
    <row r="66" spans="2:17" ht="15.95" customHeight="1">
      <c r="B66" s="273" t="s">
        <v>120</v>
      </c>
      <c r="C66" s="265"/>
      <c r="D66" s="265"/>
      <c r="E66" s="265"/>
      <c r="F66" s="265"/>
      <c r="G66" s="265"/>
      <c r="H66" s="265"/>
      <c r="I66" s="265"/>
      <c r="J66" s="265"/>
      <c r="K66" s="265"/>
      <c r="L66" s="265"/>
      <c r="M66" s="265"/>
      <c r="N66" s="265"/>
      <c r="O66" s="265"/>
      <c r="P66" s="265"/>
      <c r="Q66" s="270"/>
    </row>
    <row r="67" spans="2:17" ht="15.95" customHeight="1">
      <c r="B67" s="273" t="s">
        <v>121</v>
      </c>
      <c r="C67" s="265"/>
      <c r="D67" s="265"/>
      <c r="E67" s="265"/>
      <c r="F67" s="265"/>
      <c r="G67" s="265"/>
      <c r="H67" s="265"/>
      <c r="I67" s="265"/>
      <c r="J67" s="265"/>
      <c r="K67" s="265"/>
      <c r="L67" s="265"/>
      <c r="M67" s="265"/>
      <c r="N67" s="265"/>
      <c r="O67" s="265"/>
      <c r="P67" s="265"/>
      <c r="Q67" s="270"/>
    </row>
    <row r="68" spans="2:17" ht="15.75" customHeight="1" thickBot="1">
      <c r="B68" s="10"/>
      <c r="C68" s="11"/>
      <c r="D68" s="12"/>
      <c r="E68" s="11"/>
      <c r="F68" s="11"/>
      <c r="G68" s="11"/>
      <c r="H68" s="11"/>
      <c r="I68" s="11"/>
      <c r="J68" s="11"/>
      <c r="K68" s="11"/>
      <c r="L68" s="11"/>
      <c r="M68" s="11"/>
      <c r="N68" s="11"/>
      <c r="O68" s="11"/>
      <c r="P68" s="11"/>
      <c r="Q68" s="13"/>
    </row>
  </sheetData>
  <mergeCells count="59">
    <mergeCell ref="B19:Q19"/>
    <mergeCell ref="B9:F9"/>
    <mergeCell ref="B54:J54"/>
    <mergeCell ref="B67:Q67"/>
    <mergeCell ref="B60:Q60"/>
    <mergeCell ref="B61:N61"/>
    <mergeCell ref="B46:D46"/>
    <mergeCell ref="E41:L41"/>
    <mergeCell ref="B27:D27"/>
    <mergeCell ref="B56:J56"/>
    <mergeCell ref="B43:D43"/>
    <mergeCell ref="B39:D39"/>
    <mergeCell ref="E37:L37"/>
    <mergeCell ref="E27:H27"/>
    <mergeCell ref="B52:J52"/>
    <mergeCell ref="B48:D48"/>
    <mergeCell ref="E47:L47"/>
    <mergeCell ref="B26:D26"/>
    <mergeCell ref="E36:L36"/>
    <mergeCell ref="E45:L45"/>
    <mergeCell ref="B25:D25"/>
    <mergeCell ref="B47:D47"/>
    <mergeCell ref="E40:L40"/>
    <mergeCell ref="E34:L34"/>
    <mergeCell ref="B36:D36"/>
    <mergeCell ref="B40:D40"/>
    <mergeCell ref="J27:K27"/>
    <mergeCell ref="B51:J51"/>
    <mergeCell ref="B66:Q66"/>
    <mergeCell ref="B45:D45"/>
    <mergeCell ref="B41:D41"/>
    <mergeCell ref="B35:D35"/>
    <mergeCell ref="B50:J50"/>
    <mergeCell ref="E46:L46"/>
    <mergeCell ref="B65:Q65"/>
    <mergeCell ref="E42:L42"/>
    <mergeCell ref="B57:J57"/>
    <mergeCell ref="B44:D44"/>
    <mergeCell ref="B53:J53"/>
    <mergeCell ref="B58:J58"/>
    <mergeCell ref="E48:L48"/>
    <mergeCell ref="E44:L44"/>
    <mergeCell ref="B62:G63"/>
    <mergeCell ref="B49:J49"/>
    <mergeCell ref="B55:J55"/>
    <mergeCell ref="B4:F4"/>
    <mergeCell ref="E43:L43"/>
    <mergeCell ref="B42:D42"/>
    <mergeCell ref="B28:Q28"/>
    <mergeCell ref="E26:H26"/>
    <mergeCell ref="E25:H25"/>
    <mergeCell ref="E39:L39"/>
    <mergeCell ref="B38:D38"/>
    <mergeCell ref="B34:D34"/>
    <mergeCell ref="E35:L35"/>
    <mergeCell ref="N27:Q27"/>
    <mergeCell ref="B12:F12"/>
    <mergeCell ref="B37:D37"/>
    <mergeCell ref="E38:L38"/>
  </mergeCells>
  <dataValidations count="8">
    <dataValidation type="list" errorStyle="warning" allowBlank="1" showInputMessage="1" showErrorMessage="1" errorTitle="Unknown Destination" error="Not in list. Continue?" sqref="Q35:Q47" xr:uid="{00000000-0002-0000-0000-000000000000}">
      <formula1>"AM-MTB,AM-SS,AMZN-SS,BERLINSS,CHRATLSS,COSM-MT,ECHODAMT,ECHODASS,HG-SS,Huini-SS,IBR-MTB,MT-IT-AW,NINGBOMT,NINGBOSS,OFFICEMT,OFFICESS,OXYGENSS,SBGA-MT,SBGA-SS,SCBOXSS"</formula1>
    </dataValidation>
    <dataValidation type="whole" operator="greaterThanOrEqual" allowBlank="1" showInputMessage="1" showErrorMessage="1" errorTitle="Invalid Quantity" error="Whole number ≥ 1." sqref="N35:N47" xr:uid="{00000000-0002-0000-0000-000001000000}">
      <formula1>1</formula1>
    </dataValidation>
    <dataValidation type="date" operator="greaterThanOrEqual" allowBlank="1" showInputMessage="1" showErrorMessage="1" errorTitle="Invalid Date" error="Please enter a valid date on or after January 1, 2024." promptTitle="📅 Requested Ship Date" prompt="Enter a date (e.g. 7/15/2025). Must be 2024 or later." sqref="F21" xr:uid="{00000000-0002-0000-0000-000002000000}">
      <formula1>45292</formula1>
    </dataValidation>
    <dataValidation type="list" allowBlank="1" showInputMessage="1" showErrorMessage="1" promptTitle="Transport Mode" prompt="Select mode of transportation" sqref="F24" xr:uid="{00000000-0002-0000-0000-000003000000}">
      <formula1>"Container,LCL,Air Freight,Express Courier,Sea + Air"</formula1>
    </dataValidation>
    <dataValidation type="list" allowBlank="1" showInputMessage="1" showErrorMessage="1" promptTitle="Payment Terms" prompt="Select payment terms for this order" sqref="F23" xr:uid="{00000000-0002-0000-0000-000004000000}">
      <formula1>"Net 30,Net 60,Net 90,50/50 Before Shipment,30/70 Before Shipment,100% Before Shipment,LC at Sight,TT in Advance"</formula1>
    </dataValidation>
    <dataValidation type="whole" operator="greaterThanOrEqual" allowBlank="1" showInputMessage="1" showErrorMessage="1" errorTitle="Invalid Lead Time" error="Please enter a whole number of days (≥ 1)." promptTitle="Lead Time (Days)" prompt="Enter the manufacturing/shipping lead time in days" sqref="N21" xr:uid="{00000000-0002-0000-0000-000005000000}">
      <formula1>1</formula1>
    </dataValidation>
    <dataValidation type="list" allowBlank="1" showInputMessage="1" showErrorMessage="1" promptTitle="Currency" prompt="Select order currency" sqref="N26" xr:uid="{00000000-0002-0000-0000-000006000000}">
      <formula1>"USD,EUR,GBP,CNY,RMB"</formula1>
    </dataValidation>
    <dataValidation type="list" allowBlank="1" showInputMessage="1" showErrorMessage="1" promptTitle="Inco Terms" prompt="Select Incoterms for this shipment" sqref="N22" xr:uid="{00000000-0002-0000-0000-000007000000}">
      <formula1>"DDP IncoTerms 2020,FOB Ningbo,CIF Los Angeles,EXW Factory,CFR Los Angeles,DAP IncoTerms 2020"</formula1>
    </dataValidation>
  </dataValidations>
  <printOptions horizontalCentered="1"/>
  <pageMargins left="0.25" right="0.25" top="0.25" bottom="0.25" header="0.125" footer="0.125"/>
  <pageSetup orientation="landscape"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6600"/>
  </sheetPr>
  <dimension ref="A1:B200"/>
  <sheetViews>
    <sheetView topLeftCell="A33" workbookViewId="0">
      <selection activeCell="B56" sqref="B56"/>
    </sheetView>
  </sheetViews>
  <sheetFormatPr defaultRowHeight="15"/>
  <cols>
    <col min="1" max="1" width="72.42578125" customWidth="1"/>
    <col min="2" max="2" width="114.28515625" customWidth="1"/>
  </cols>
  <sheetData>
    <row r="1" spans="1:1" ht="24" customHeight="1">
      <c r="A1" s="95" t="s">
        <v>122</v>
      </c>
    </row>
    <row r="2" spans="1:1">
      <c r="A2" s="96" t="s">
        <v>123</v>
      </c>
    </row>
    <row r="4" spans="1:1" ht="15.75" customHeight="1">
      <c r="A4" s="93" t="s">
        <v>124</v>
      </c>
    </row>
    <row r="5" spans="1:1">
      <c r="A5" t="s">
        <v>125</v>
      </c>
    </row>
    <row r="6" spans="1:1">
      <c r="A6" t="s">
        <v>126</v>
      </c>
    </row>
    <row r="7" spans="1:1">
      <c r="A7" t="s">
        <v>127</v>
      </c>
    </row>
    <row r="9" spans="1:1" ht="15.75" customHeight="1">
      <c r="A9" s="93" t="s">
        <v>128</v>
      </c>
    </row>
    <row r="10" spans="1:1">
      <c r="A10" t="s">
        <v>129</v>
      </c>
    </row>
    <row r="11" spans="1:1">
      <c r="A11" t="s">
        <v>130</v>
      </c>
    </row>
    <row r="12" spans="1:1">
      <c r="A12" t="s">
        <v>131</v>
      </c>
    </row>
    <row r="13" spans="1:1">
      <c r="A13" t="s">
        <v>132</v>
      </c>
    </row>
    <row r="14" spans="1:1">
      <c r="A14" t="s">
        <v>133</v>
      </c>
    </row>
    <row r="15" spans="1:1">
      <c r="A15" t="s">
        <v>134</v>
      </c>
    </row>
    <row r="16" spans="1:1">
      <c r="A16" t="s">
        <v>135</v>
      </c>
    </row>
    <row r="17" spans="1:1">
      <c r="A17" t="s">
        <v>136</v>
      </c>
    </row>
    <row r="19" spans="1:1" ht="15.75" customHeight="1">
      <c r="A19" s="93" t="s">
        <v>137</v>
      </c>
    </row>
    <row r="20" spans="1:1">
      <c r="A20" t="s">
        <v>138</v>
      </c>
    </row>
    <row r="21" spans="1:1">
      <c r="A21" t="s">
        <v>139</v>
      </c>
    </row>
    <row r="22" spans="1:1">
      <c r="A22" t="s">
        <v>140</v>
      </c>
    </row>
    <row r="24" spans="1:1" ht="15.75" customHeight="1">
      <c r="A24" s="93" t="s">
        <v>141</v>
      </c>
    </row>
    <row r="25" spans="1:1">
      <c r="A25" t="s">
        <v>142</v>
      </c>
    </row>
    <row r="26" spans="1:1">
      <c r="A26" t="s">
        <v>143</v>
      </c>
    </row>
    <row r="27" spans="1:1">
      <c r="A27" t="s">
        <v>144</v>
      </c>
    </row>
    <row r="28" spans="1:1">
      <c r="A28" t="s">
        <v>145</v>
      </c>
    </row>
    <row r="29" spans="1:1">
      <c r="A29" t="s">
        <v>146</v>
      </c>
    </row>
    <row r="30" spans="1:1">
      <c r="A30" t="s">
        <v>147</v>
      </c>
    </row>
    <row r="32" spans="1:1" ht="15.75" customHeight="1">
      <c r="A32" s="93" t="s">
        <v>148</v>
      </c>
    </row>
    <row r="33" spans="1:2">
      <c r="A33" t="s">
        <v>149</v>
      </c>
    </row>
    <row r="34" spans="1:2">
      <c r="A34" t="s">
        <v>150</v>
      </c>
    </row>
    <row r="36" spans="1:2" ht="15.75" customHeight="1">
      <c r="A36" s="93" t="s">
        <v>151</v>
      </c>
    </row>
    <row r="37" spans="1:2">
      <c r="A37" s="89" t="s">
        <v>152</v>
      </c>
      <c r="B37" t="s">
        <v>153</v>
      </c>
    </row>
    <row r="38" spans="1:2">
      <c r="A38" s="89" t="s">
        <v>154</v>
      </c>
      <c r="B38" t="s">
        <v>155</v>
      </c>
    </row>
    <row r="39" spans="1:2">
      <c r="A39" s="89" t="s">
        <v>156</v>
      </c>
      <c r="B39" t="s">
        <v>157</v>
      </c>
    </row>
    <row r="40" spans="1:2">
      <c r="A40" s="89" t="s">
        <v>158</v>
      </c>
      <c r="B40" t="s">
        <v>159</v>
      </c>
    </row>
    <row r="41" spans="1:2">
      <c r="A41" s="89" t="s">
        <v>160</v>
      </c>
      <c r="B41" t="s">
        <v>161</v>
      </c>
    </row>
    <row r="42" spans="1:2">
      <c r="A42" s="89" t="s">
        <v>162</v>
      </c>
      <c r="B42" t="s">
        <v>163</v>
      </c>
    </row>
    <row r="44" spans="1:2" ht="15.75" customHeight="1">
      <c r="A44" s="93" t="s">
        <v>164</v>
      </c>
    </row>
    <row r="45" spans="1:2">
      <c r="A45" s="91" t="s">
        <v>165</v>
      </c>
    </row>
    <row r="46" spans="1:2">
      <c r="A46" s="92" t="s">
        <v>166</v>
      </c>
    </row>
    <row r="47" spans="1:2">
      <c r="A47" s="94" t="s">
        <v>167</v>
      </c>
    </row>
    <row r="48" spans="1:2">
      <c r="A48" t="s">
        <v>168</v>
      </c>
    </row>
    <row r="49" spans="1:2">
      <c r="A49" t="s">
        <v>169</v>
      </c>
    </row>
    <row r="50" spans="1:2">
      <c r="A50" t="s">
        <v>170</v>
      </c>
    </row>
    <row r="51" spans="1:2">
      <c r="A51" t="s">
        <v>171</v>
      </c>
    </row>
    <row r="52" spans="1:2">
      <c r="A52" t="s">
        <v>172</v>
      </c>
    </row>
    <row r="53" spans="1:2">
      <c r="A53" s="99" t="s">
        <v>173</v>
      </c>
      <c r="B53" t="s">
        <v>174</v>
      </c>
    </row>
    <row r="55" spans="1:2" ht="15.75" customHeight="1">
      <c r="A55" s="97" t="s">
        <v>175</v>
      </c>
    </row>
    <row r="56" spans="1:2" ht="21.95" customHeight="1">
      <c r="B56" s="98" t="s">
        <v>176</v>
      </c>
    </row>
    <row r="57" spans="1:2" ht="15" customHeight="1"/>
    <row r="58" spans="1:2" ht="15" customHeight="1"/>
    <row r="59" spans="1:2" ht="15" customHeight="1"/>
    <row r="60" spans="1:2" ht="15" customHeight="1"/>
    <row r="61" spans="1:2" ht="15" customHeight="1"/>
    <row r="62" spans="1:2" ht="15" customHeight="1"/>
    <row r="63" spans="1:2" ht="15" customHeight="1"/>
    <row r="64" spans="1:2"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4269"/>
  </sheetPr>
  <dimension ref="A1:H61"/>
  <sheetViews>
    <sheetView workbookViewId="0">
      <pane ySplit="3" topLeftCell="A17" activePane="bottomLeft" state="frozen"/>
      <selection pane="bottomLeft" activeCell="B31" sqref="B31"/>
    </sheetView>
  </sheetViews>
  <sheetFormatPr defaultRowHeight="15"/>
  <cols>
    <col min="1" max="1" width="30.42578125" customWidth="1"/>
    <col min="2" max="2" width="57.5703125" bestFit="1" customWidth="1"/>
    <col min="3" max="3" width="57.140625" customWidth="1"/>
    <col min="4" max="4" width="15.28515625" customWidth="1"/>
    <col min="5" max="5" width="28.5703125" customWidth="1"/>
    <col min="6" max="6" width="27.5703125" customWidth="1"/>
    <col min="7" max="7" width="38.140625" customWidth="1"/>
    <col min="8" max="8" width="17.140625" customWidth="1"/>
  </cols>
  <sheetData>
    <row r="1" spans="1:8" ht="24" customHeight="1">
      <c r="A1" s="103" t="s">
        <v>0</v>
      </c>
      <c r="B1" s="104"/>
      <c r="C1" s="104"/>
      <c r="D1" s="104"/>
      <c r="E1" s="104"/>
      <c r="F1" s="104"/>
      <c r="G1" s="104"/>
      <c r="H1" s="104"/>
    </row>
    <row r="2" spans="1:8">
      <c r="A2" s="105" t="s">
        <v>1</v>
      </c>
      <c r="B2" s="104"/>
      <c r="C2" s="104"/>
      <c r="D2" s="104"/>
      <c r="E2" s="104"/>
      <c r="F2" s="104"/>
      <c r="G2" s="104"/>
      <c r="H2" s="104"/>
    </row>
    <row r="3" spans="1:8">
      <c r="A3" s="106" t="s">
        <v>2</v>
      </c>
      <c r="B3" s="104"/>
      <c r="C3" s="104"/>
      <c r="D3" s="104"/>
      <c r="E3" s="104"/>
      <c r="F3" s="104"/>
      <c r="G3" s="104"/>
      <c r="H3" s="104"/>
    </row>
    <row r="4" spans="1:8" ht="18.75" customHeight="1">
      <c r="A4" s="107" t="s">
        <v>3</v>
      </c>
      <c r="B4" s="108">
        <v>3143</v>
      </c>
      <c r="C4" s="104"/>
      <c r="D4" s="107" t="s">
        <v>4</v>
      </c>
      <c r="E4" s="140">
        <v>46113</v>
      </c>
      <c r="F4" s="104"/>
      <c r="G4" s="104"/>
      <c r="H4" s="104"/>
    </row>
    <row r="5" spans="1:8">
      <c r="A5" s="106" t="s">
        <v>5</v>
      </c>
      <c r="B5" s="104"/>
      <c r="C5" s="104"/>
      <c r="D5" s="104"/>
      <c r="E5" s="104"/>
      <c r="F5" s="104"/>
      <c r="G5" s="104"/>
      <c r="H5" s="104"/>
    </row>
    <row r="6" spans="1:8">
      <c r="A6" s="107" t="s">
        <v>6</v>
      </c>
      <c r="B6" s="139" t="s">
        <v>7</v>
      </c>
      <c r="C6" s="104"/>
      <c r="D6" s="104"/>
      <c r="E6" s="104"/>
      <c r="F6" s="104"/>
      <c r="G6" s="104"/>
      <c r="H6" s="104"/>
    </row>
    <row r="7" spans="1:8" ht="30" customHeight="1">
      <c r="A7" s="107" t="s">
        <v>8</v>
      </c>
      <c r="B7" s="143" t="s">
        <v>1091</v>
      </c>
      <c r="C7" s="104"/>
      <c r="D7" s="104"/>
      <c r="E7" s="104"/>
      <c r="F7" s="104"/>
      <c r="G7" s="104"/>
      <c r="H7" s="104"/>
    </row>
    <row r="8" spans="1:8">
      <c r="A8" s="107"/>
      <c r="B8" s="142"/>
      <c r="C8" s="104"/>
      <c r="D8" s="104"/>
      <c r="E8" s="104"/>
      <c r="F8" s="104"/>
      <c r="G8" s="104"/>
      <c r="H8" s="104"/>
    </row>
    <row r="9" spans="1:8">
      <c r="A9" s="107" t="s">
        <v>9</v>
      </c>
      <c r="B9" s="144" t="s">
        <v>68</v>
      </c>
      <c r="C9" s="104"/>
      <c r="D9" s="104"/>
      <c r="E9" s="104"/>
      <c r="F9" s="104"/>
      <c r="G9" s="104"/>
      <c r="H9" s="104"/>
    </row>
    <row r="10" spans="1:8">
      <c r="A10" s="107" t="s">
        <v>10</v>
      </c>
      <c r="B10" s="144" t="s">
        <v>71</v>
      </c>
      <c r="C10" s="104"/>
      <c r="D10" s="104"/>
      <c r="E10" s="104"/>
      <c r="F10" s="104"/>
      <c r="G10" s="104"/>
      <c r="H10" s="104"/>
    </row>
    <row r="11" spans="1:8">
      <c r="A11" s="110" t="s">
        <v>11</v>
      </c>
      <c r="B11" s="111"/>
      <c r="C11" s="104"/>
      <c r="D11" s="104"/>
      <c r="E11" s="104"/>
      <c r="F11" s="104"/>
      <c r="G11" s="104"/>
      <c r="H11" s="104"/>
    </row>
    <row r="12" spans="1:8">
      <c r="A12" s="107" t="s">
        <v>12</v>
      </c>
      <c r="B12" s="109" t="s">
        <v>13</v>
      </c>
      <c r="C12" s="104"/>
      <c r="D12" s="104"/>
      <c r="E12" s="104"/>
      <c r="F12" s="104"/>
      <c r="G12" s="104"/>
      <c r="H12" s="104"/>
    </row>
    <row r="13" spans="1:8">
      <c r="A13" s="107" t="s">
        <v>8</v>
      </c>
      <c r="B13" s="145" t="s">
        <v>75</v>
      </c>
      <c r="C13" s="104"/>
      <c r="D13" s="104"/>
      <c r="E13" s="104"/>
      <c r="F13" s="104"/>
      <c r="G13" s="104"/>
      <c r="H13" s="104"/>
    </row>
    <row r="14" spans="1:8">
      <c r="A14" s="107" t="s">
        <v>14</v>
      </c>
      <c r="B14" s="145" t="s">
        <v>76</v>
      </c>
      <c r="C14" s="104"/>
      <c r="D14" s="104"/>
      <c r="E14" s="104"/>
      <c r="F14" s="104"/>
      <c r="G14" s="104"/>
      <c r="H14" s="104"/>
    </row>
    <row r="15" spans="1:8">
      <c r="A15" s="107" t="s">
        <v>9</v>
      </c>
      <c r="B15" s="145" t="s">
        <v>77</v>
      </c>
      <c r="C15" s="104"/>
      <c r="D15" s="104"/>
      <c r="E15" s="104"/>
      <c r="F15" s="104"/>
      <c r="G15" s="104"/>
      <c r="H15" s="104"/>
    </row>
    <row r="16" spans="1:8">
      <c r="A16" s="107" t="s">
        <v>15</v>
      </c>
      <c r="B16" s="146">
        <v>315201</v>
      </c>
      <c r="C16" s="104"/>
      <c r="D16" s="104"/>
      <c r="E16" s="104"/>
      <c r="F16" s="104"/>
      <c r="G16" s="104"/>
      <c r="H16" s="104"/>
    </row>
    <row r="17" spans="1:8">
      <c r="A17" s="107" t="s">
        <v>10</v>
      </c>
      <c r="B17" s="145" t="s">
        <v>78</v>
      </c>
      <c r="C17" s="104"/>
      <c r="D17" s="104"/>
      <c r="E17" s="104"/>
      <c r="F17" s="104"/>
      <c r="G17" s="104"/>
      <c r="H17" s="104"/>
    </row>
    <row r="18" spans="1:8">
      <c r="A18" s="110" t="s">
        <v>16</v>
      </c>
      <c r="B18" s="111"/>
      <c r="C18" s="104"/>
      <c r="D18" s="136" t="s">
        <v>17</v>
      </c>
      <c r="E18" s="104" t="s">
        <v>18</v>
      </c>
      <c r="F18" s="104"/>
      <c r="G18" s="104"/>
      <c r="H18" s="104"/>
    </row>
    <row r="19" spans="1:8">
      <c r="A19" s="107" t="s">
        <v>19</v>
      </c>
      <c r="B19" s="138">
        <v>46143</v>
      </c>
      <c r="C19" s="104"/>
      <c r="D19" s="137" t="s">
        <v>20</v>
      </c>
      <c r="E19" s="101"/>
      <c r="H19" s="104"/>
    </row>
    <row r="20" spans="1:8">
      <c r="A20" s="107" t="s">
        <v>21</v>
      </c>
      <c r="B20" s="109"/>
      <c r="C20" s="104"/>
      <c r="D20" s="107" t="s">
        <v>22</v>
      </c>
      <c r="E20" s="112" t="s">
        <v>83</v>
      </c>
      <c r="F20" s="104"/>
      <c r="G20" s="104"/>
      <c r="H20" s="104"/>
    </row>
    <row r="21" spans="1:8">
      <c r="A21" s="107" t="s">
        <v>23</v>
      </c>
      <c r="B21" s="109"/>
      <c r="C21" s="104"/>
      <c r="D21" s="107" t="s">
        <v>24</v>
      </c>
      <c r="E21" s="112"/>
      <c r="F21" s="104"/>
      <c r="G21" s="104"/>
      <c r="H21" s="104"/>
    </row>
    <row r="22" spans="1:8">
      <c r="A22" s="107" t="s">
        <v>25</v>
      </c>
      <c r="B22" s="109"/>
      <c r="C22" s="104"/>
      <c r="D22" s="107"/>
      <c r="E22" s="112"/>
      <c r="F22" s="104"/>
      <c r="G22" s="104"/>
      <c r="H22" s="104"/>
    </row>
    <row r="23" spans="1:8">
      <c r="A23" s="110" t="s">
        <v>26</v>
      </c>
      <c r="B23" s="104"/>
      <c r="C23" s="104"/>
      <c r="D23" s="104"/>
      <c r="E23" s="104"/>
      <c r="F23" s="104"/>
      <c r="G23" s="104"/>
      <c r="H23" s="104"/>
    </row>
    <row r="24" spans="1:8" ht="21.95" customHeight="1" thickBot="1">
      <c r="A24" s="107" t="s">
        <v>27</v>
      </c>
      <c r="B24" s="113" t="s">
        <v>28</v>
      </c>
      <c r="C24" s="107" t="s">
        <v>29</v>
      </c>
      <c r="D24" s="114"/>
      <c r="E24" s="115" t="s">
        <v>30</v>
      </c>
      <c r="F24" s="104"/>
      <c r="G24" s="104"/>
      <c r="H24" s="104"/>
    </row>
    <row r="25" spans="1:8" ht="20.100000000000001" customHeight="1">
      <c r="A25" s="116" t="str">
        <f>IF(B24="Description","DESCRIPTION","ITEM #")</f>
        <v>ITEM #</v>
      </c>
      <c r="B25" s="117" t="s">
        <v>31</v>
      </c>
      <c r="C25" s="117" t="s">
        <v>32</v>
      </c>
      <c r="D25" s="117" t="s">
        <v>33</v>
      </c>
      <c r="E25" s="117" t="s">
        <v>34</v>
      </c>
      <c r="F25" s="117" t="s">
        <v>35</v>
      </c>
      <c r="G25" s="117" t="s">
        <v>36</v>
      </c>
      <c r="H25" s="118" t="s">
        <v>37</v>
      </c>
    </row>
    <row r="26" spans="1:8" ht="21.95" customHeight="1" thickBot="1">
      <c r="A26" s="119"/>
      <c r="B26" s="148">
        <v>850038082659</v>
      </c>
      <c r="C26" s="131" t="str">
        <f>IF(A26="","",IF(B24="Description",IFERROR(INDEX('Item Database'!$C$2:$C$500,MATCH(A26,'Item Database'!$B$2:$B$500,0)),"Not Found"),IFERROR(INDEX('Item Database'!$C$2:$C$500,MATCH(A26,'Item Database'!$A$2:$A$500,0)),IFERROR(INDEX('Item Database'!$C$2:$C$500,MATCH(VALUE(A26),'Item Database'!$A$2:$A$500,0)),"Not Found"))))</f>
        <v/>
      </c>
      <c r="D26" s="132" t="str">
        <f>IF(A26="","",IF(B24="Description",IFERROR(INDEX('Item Database'!$D$2:$D$500,MATCH(A26,'Item Database'!$B$2:$B$500,0)),"Not Found"),IFERROR(INDEX('Item Database'!$D$2:$D$500,MATCH(A26,'Item Database'!$A$2:$A$500,0)),IFERROR(INDEX('Item Database'!$D$2:$D$500,MATCH(VALUE(A26),'Item Database'!$A$2:$A$500,0)),"Not Found"))))</f>
        <v/>
      </c>
      <c r="E26" s="132" t="str">
        <f>IF(A26="","",IF(B24="Description",IFERROR(INDEX('Item Database'!$G$2:$G$500,MATCH(A26,'Item Database'!$B$2:$B$500,0)),"Not Found"),IFERROR(INDEX('Item Database'!$G$2:$G$500,MATCH(A26,'Item Database'!$A$2:$A$500,0)),IFERROR(INDEX('Item Database'!$G$2:$G$500,MATCH(VALUE(A26),'Item Database'!$A$2:$A$500,0)),"Not Found"))))</f>
        <v/>
      </c>
      <c r="F26" s="132" t="str">
        <f>IF(A26="","",IF(B24="Description",IFERROR(IF(INDEX('Item Database'!$W$2:$W$500,MATCH(A26,'Item Database'!$B$2:$B$500,0))=0,"",INDEX('Item Database'!$W$2:$W$500,MATCH(A26,'Item Database'!$B$2:$B$500,0))),""),IFERROR(IF(INDEX('Item Database'!$W$2:$W$500,MATCH(A26,'Item Database'!$A$2:$A$500,0))=0,"",INDEX('Item Database'!$W$2:$W$500,MATCH(A26,'Item Database'!$A$2:$A$500,0))),IFERROR(IF(INDEX('Item Database'!$W$2:$W$500,MATCH(VALUE(A26),'Item Database'!$A$2:$A$500,0))=0,"",INDEX('Item Database'!$W$2:$W$500,MATCH(VALUE(A26),'Item Database'!$A$2:$A$500,0))),""))))</f>
        <v/>
      </c>
      <c r="G26" s="132" t="str">
        <f>IF(A26="","",IF(B24="Description",IFERROR(IF(INDEX('Item Database'!$R$2:$R$500,MATCH(A26,'Item Database'!$B$2:$B$500,0))=0,"",INDEX('Item Database'!$R$2:$R$500,MATCH(A26,'Item Database'!$B$2:$B$500,0))),""),IFERROR(IF(INDEX('Item Database'!$R$2:$R$500,MATCH(A26,'Item Database'!$A$2:$A$500,0))=0,"",INDEX('Item Database'!$R$2:$R$500,MATCH(A26,'Item Database'!$A$2:$A$500,0))),IFERROR(IF(INDEX('Item Database'!$R$2:$R$500,MATCH(VALUE(A26),'Item Database'!$A$2:$A$500,0))=0,"",INDEX('Item Database'!$R$2:$R$500,MATCH(VALUE(A26),'Item Database'!$A$2:$A$500,0))),""))))</f>
        <v/>
      </c>
      <c r="H26" s="133" t="str">
        <f>IF(A26="","",IF(B24="Description",IFERROR(IF(INDEX('Item Database'!$S$2:$S$500,MATCH(A26,'Item Database'!$B$2:$B$500,0))=0,"",INDEX('Item Database'!$S$2:$S$500,MATCH(A26,'Item Database'!$B$2:$B$500,0))),""),IFERROR(IF(INDEX('Item Database'!$S$2:$S$500,MATCH(A26,'Item Database'!$A$2:$A$500,0))=0,"",INDEX('Item Database'!$S$2:$S$500,MATCH(A26,'Item Database'!$A$2:$A$500,0))),IFERROR(IF(INDEX('Item Database'!$S$2:$S$500,MATCH(VALUE(A26),'Item Database'!$A$2:$A$500,0))=0,"",INDEX('Item Database'!$S$2:$S$500,MATCH(VALUE(A26),'Item Database'!$A$2:$A$500,0))),""))))</f>
        <v/>
      </c>
    </row>
    <row r="27" spans="1:8" ht="15.95" customHeight="1">
      <c r="A27" s="115" t="s">
        <v>38</v>
      </c>
      <c r="B27" s="104"/>
      <c r="C27" s="104"/>
      <c r="D27" s="104"/>
      <c r="E27" s="104"/>
      <c r="F27" s="104"/>
      <c r="G27" s="104"/>
      <c r="H27" s="104"/>
    </row>
    <row r="28" spans="1:8">
      <c r="A28" s="104"/>
      <c r="B28" s="104"/>
      <c r="C28" s="104"/>
      <c r="D28" s="104"/>
      <c r="E28" s="104"/>
      <c r="F28" s="104"/>
      <c r="G28" s="104"/>
      <c r="H28" s="104"/>
    </row>
    <row r="29" spans="1:8">
      <c r="A29" s="106" t="s">
        <v>39</v>
      </c>
      <c r="B29" s="104"/>
      <c r="C29" s="104"/>
      <c r="D29" s="104"/>
      <c r="E29" s="104"/>
      <c r="F29" s="104"/>
      <c r="G29" s="104"/>
      <c r="H29" s="104"/>
    </row>
    <row r="30" spans="1:8">
      <c r="A30" s="120" t="s">
        <v>40</v>
      </c>
      <c r="B30" s="120" t="s">
        <v>41</v>
      </c>
      <c r="C30" s="120" t="s">
        <v>31</v>
      </c>
      <c r="D30" s="120" t="s">
        <v>42</v>
      </c>
      <c r="E30" s="120" t="s">
        <v>43</v>
      </c>
      <c r="F30" s="120" t="s">
        <v>44</v>
      </c>
      <c r="G30" s="120" t="s">
        <v>45</v>
      </c>
      <c r="H30" s="121" t="s">
        <v>46</v>
      </c>
    </row>
    <row r="31" spans="1:8" ht="21.95" customHeight="1">
      <c r="A31" s="122">
        <v>1</v>
      </c>
      <c r="B31" s="141">
        <v>850038082352</v>
      </c>
      <c r="C31" s="147" t="s">
        <v>553</v>
      </c>
      <c r="D31" s="124">
        <v>200</v>
      </c>
      <c r="E31" s="134">
        <f>IF(B31="","",IF(D31="","",IFERROR(IF(IFERROR(INDEX('Item Database'!$R$2:$R$500,MATCH(VALUE(B31),'Item Database'!$A$2:$A$500,0)),0)=0,"—",CEILING(D31/INDEX('Item Database'!$R$2:$R$500,MATCH(VALUE(B31),'Item Database'!$A$2:$A$500,0)),1)),IFERROR(IF(IFERROR(INDEX('Item Database'!$R$2:$R$500,MATCH(B31,'Item Database'!$A$2:$A$500,0)),0)=0,"—",CEILING(D31/INDEX('Item Database'!$R$2:$R$500,MATCH(B31,'Item Database'!$A$2:$A$500,0)),1)),""))))</f>
        <v>34</v>
      </c>
      <c r="F31" s="135">
        <f>IF(B31="","",IF(E31="","",IF(E31="—","",IFERROR(IF(IFERROR(INDEX('Item Database'!$S$2:$S$500,MATCH(VALUE(B31),'Item Database'!$A$2:$A$500,0)),0)=0,"—",E31*INDEX('Item Database'!$S$2:$S$500,MATCH(VALUE(B31),'Item Database'!$A$2:$A$500,0))),IFERROR(E31*INDEX('Item Database'!$S$2:$S$500,MATCH(B31,'Item Database'!$A$2:$A$500,0)),"")))))</f>
        <v>3.60899664</v>
      </c>
      <c r="G31" s="112"/>
      <c r="H31" s="125" t="s">
        <v>47</v>
      </c>
    </row>
    <row r="32" spans="1:8" ht="21.95" customHeight="1">
      <c r="A32" s="126">
        <v>2</v>
      </c>
      <c r="B32" s="141">
        <v>850038082383</v>
      </c>
      <c r="C32" s="147"/>
      <c r="D32" s="124"/>
      <c r="E32" s="134" t="str">
        <f>IF(B32="","",IF(D32="","",IFERROR(IF(IFERROR(INDEX('Item Database'!$R$2:$R$500,MATCH(VALUE(B32),'Item Database'!$A$2:$A$500,0)),0)=0,"—",CEILING(D32/INDEX('Item Database'!$R$2:$R$500,MATCH(VALUE(B32),'Item Database'!$A$2:$A$500,0)),1)),IFERROR(IF(IFERROR(INDEX('Item Database'!$R$2:$R$500,MATCH(B32,'Item Database'!$A$2:$A$500,0)),0)=0,"—",CEILING(D32/INDEX('Item Database'!$R$2:$R$500,MATCH(B32,'Item Database'!$A$2:$A$500,0)),1)),""))))</f>
        <v/>
      </c>
      <c r="F32" s="135" t="str">
        <f>IF(B32="","",IF(E32="","",IF(E32="—","",IFERROR(IF(IFERROR(INDEX('Item Database'!$S$2:$S$500,MATCH(VALUE(B32),'Item Database'!$A$2:$A$500,0)),0)=0,"—",E32*INDEX('Item Database'!$S$2:$S$500,MATCH(VALUE(B32),'Item Database'!$A$2:$A$500,0))),IFERROR(E32*INDEX('Item Database'!$S$2:$S$500,MATCH(B32,'Item Database'!$A$2:$A$500,0)),"")))))</f>
        <v/>
      </c>
      <c r="G32" s="112"/>
      <c r="H32" s="125"/>
    </row>
    <row r="33" spans="1:8" ht="21.95" customHeight="1">
      <c r="A33" s="122">
        <v>3</v>
      </c>
      <c r="B33" s="248">
        <v>850038082659</v>
      </c>
      <c r="C33" s="147"/>
      <c r="D33" s="124"/>
      <c r="E33" s="134" t="str">
        <f>IF(B33="","",IF(D33="","",IFERROR(IF(IFERROR(INDEX('Item Database'!$R$2:$R$500,MATCH(VALUE(B33),'Item Database'!$A$2:$A$500,0)),0)=0,"—",CEILING(D33/INDEX('Item Database'!$R$2:$R$500,MATCH(VALUE(B33),'Item Database'!$A$2:$A$500,0)),1)),IFERROR(IF(IFERROR(INDEX('Item Database'!$R$2:$R$500,MATCH(B33,'Item Database'!$A$2:$A$500,0)),0)=0,"—",CEILING(D33/INDEX('Item Database'!$R$2:$R$500,MATCH(B33,'Item Database'!$A$2:$A$500,0)),1)),""))))</f>
        <v/>
      </c>
      <c r="F33" s="135" t="str">
        <f>IF(B33="","",IF(E33="","",IF(E33="—","",IFERROR(IF(IFERROR(INDEX('Item Database'!$S$2:$S$500,MATCH(VALUE(B33),'Item Database'!$A$2:$A$500,0)),0)=0,"—",E33*INDEX('Item Database'!$S$2:$S$500,MATCH(VALUE(B33),'Item Database'!$A$2:$A$500,0))),IFERROR(E33*INDEX('Item Database'!$S$2:$S$500,MATCH(B33,'Item Database'!$A$2:$A$500,0)),"")))))</f>
        <v/>
      </c>
      <c r="G33" s="112"/>
      <c r="H33" s="125"/>
    </row>
    <row r="34" spans="1:8" ht="21.95" customHeight="1">
      <c r="A34" s="126">
        <v>4</v>
      </c>
      <c r="B34" s="141">
        <v>850038082604</v>
      </c>
      <c r="C34" s="147"/>
      <c r="D34" s="124"/>
      <c r="E34" s="134" t="str">
        <f>IF(B34="","",IF(D34="","",IFERROR(IF(IFERROR(INDEX('Item Database'!$R$2:$R$500,MATCH(VALUE(B34),'Item Database'!$A$2:$A$500,0)),0)=0,"—",CEILING(D34/INDEX('Item Database'!$R$2:$R$500,MATCH(VALUE(B34),'Item Database'!$A$2:$A$500,0)),1)),IFERROR(IF(IFERROR(INDEX('Item Database'!$R$2:$R$500,MATCH(B34,'Item Database'!$A$2:$A$500,0)),0)=0,"—",CEILING(D34/INDEX('Item Database'!$R$2:$R$500,MATCH(B34,'Item Database'!$A$2:$A$500,0)),1)),""))))</f>
        <v/>
      </c>
      <c r="F34" s="135" t="str">
        <f>IF(B34="","",IF(E34="","",IF(E34="—","",IFERROR(IF(IFERROR(INDEX('Item Database'!$S$2:$S$500,MATCH(VALUE(B34),'Item Database'!$A$2:$A$500,0)),0)=0,"—",E34*INDEX('Item Database'!$S$2:$S$500,MATCH(VALUE(B34),'Item Database'!$A$2:$A$500,0))),IFERROR(E34*INDEX('Item Database'!$S$2:$S$500,MATCH(B34,'Item Database'!$A$2:$A$500,0)),"")))))</f>
        <v/>
      </c>
      <c r="G34" s="112"/>
      <c r="H34" s="125"/>
    </row>
    <row r="35" spans="1:8" ht="21.95" customHeight="1">
      <c r="A35" s="122">
        <v>5</v>
      </c>
      <c r="B35" s="141"/>
      <c r="C35" s="147"/>
      <c r="D35" s="124"/>
      <c r="E35" s="134" t="str">
        <f>IF(B35="","",IF(D35="","",IFERROR(IF(IFERROR(INDEX('Item Database'!$R$2:$R$500,MATCH(VALUE(B35),'Item Database'!$A$2:$A$500,0)),0)=0,"—",CEILING(D35/INDEX('Item Database'!$R$2:$R$500,MATCH(VALUE(B35),'Item Database'!$A$2:$A$500,0)),1)),IFERROR(IF(IFERROR(INDEX('Item Database'!$R$2:$R$500,MATCH(B35,'Item Database'!$A$2:$A$500,0)),0)=0,"—",CEILING(D35/INDEX('Item Database'!$R$2:$R$500,MATCH(B35,'Item Database'!$A$2:$A$500,0)),1)),""))))</f>
        <v/>
      </c>
      <c r="F35" s="135" t="str">
        <f>IF(B35="","",IF(E35="","",IF(E35="—","",IFERROR(IF(IFERROR(INDEX('Item Database'!$S$2:$S$500,MATCH(VALUE(B35),'Item Database'!$A$2:$A$500,0)),0)=0,"—",E35*INDEX('Item Database'!$S$2:$S$500,MATCH(VALUE(B35),'Item Database'!$A$2:$A$500,0))),IFERROR(E35*INDEX('Item Database'!$S$2:$S$500,MATCH(B35,'Item Database'!$A$2:$A$500,0)),"")))))</f>
        <v/>
      </c>
      <c r="G35" s="112"/>
      <c r="H35" s="125"/>
    </row>
    <row r="36" spans="1:8" ht="21.95" customHeight="1">
      <c r="A36" s="126">
        <v>6</v>
      </c>
      <c r="B36" s="141"/>
      <c r="C36" s="147"/>
      <c r="D36" s="124"/>
      <c r="E36" s="134" t="str">
        <f>IF(B36="","",IF(D36="","",IFERROR(IF(IFERROR(INDEX('Item Database'!$R$2:$R$500,MATCH(VALUE(B36),'Item Database'!$A$2:$A$500,0)),0)=0,"—",CEILING(D36/INDEX('Item Database'!$R$2:$R$500,MATCH(VALUE(B36),'Item Database'!$A$2:$A$500,0)),1)),IFERROR(IF(IFERROR(INDEX('Item Database'!$R$2:$R$500,MATCH(B36,'Item Database'!$A$2:$A$500,0)),0)=0,"—",CEILING(D36/INDEX('Item Database'!$R$2:$R$500,MATCH(B36,'Item Database'!$A$2:$A$500,0)),1)),""))))</f>
        <v/>
      </c>
      <c r="F36" s="135" t="str">
        <f>IF(B36="","",IF(E36="","",IF(E36="—","",IFERROR(IF(IFERROR(INDEX('Item Database'!$S$2:$S$500,MATCH(VALUE(B36),'Item Database'!$A$2:$A$500,0)),0)=0,"—",E36*INDEX('Item Database'!$S$2:$S$500,MATCH(VALUE(B36),'Item Database'!$A$2:$A$500,0))),IFERROR(E36*INDEX('Item Database'!$S$2:$S$500,MATCH(B36,'Item Database'!$A$2:$A$500,0)),"")))))</f>
        <v/>
      </c>
      <c r="G36" s="112"/>
      <c r="H36" s="125"/>
    </row>
    <row r="37" spans="1:8" ht="21.95" customHeight="1">
      <c r="A37" s="122">
        <v>7</v>
      </c>
      <c r="B37" s="141"/>
      <c r="C37" s="147"/>
      <c r="D37" s="124"/>
      <c r="E37" s="134" t="str">
        <f>IF(B37="","",IF(D37="","",IFERROR(IF(IFERROR(INDEX('Item Database'!$R$2:$R$500,MATCH(VALUE(B37),'Item Database'!$A$2:$A$500,0)),0)=0,"—",CEILING(D37/INDEX('Item Database'!$R$2:$R$500,MATCH(VALUE(B37),'Item Database'!$A$2:$A$500,0)),1)),IFERROR(IF(IFERROR(INDEX('Item Database'!$R$2:$R$500,MATCH(B37,'Item Database'!$A$2:$A$500,0)),0)=0,"—",CEILING(D37/INDEX('Item Database'!$R$2:$R$500,MATCH(B37,'Item Database'!$A$2:$A$500,0)),1)),""))))</f>
        <v/>
      </c>
      <c r="F37" s="135" t="str">
        <f>IF(B37="","",IF(E37="","",IF(E37="—","",IFERROR(IF(IFERROR(INDEX('Item Database'!$S$2:$S$500,MATCH(VALUE(B37),'Item Database'!$A$2:$A$500,0)),0)=0,"—",E37*INDEX('Item Database'!$S$2:$S$500,MATCH(VALUE(B37),'Item Database'!$A$2:$A$500,0))),IFERROR(E37*INDEX('Item Database'!$S$2:$S$500,MATCH(B37,'Item Database'!$A$2:$A$500,0)),"")))))</f>
        <v/>
      </c>
      <c r="G37" s="112"/>
      <c r="H37" s="125"/>
    </row>
    <row r="38" spans="1:8" ht="21.95" customHeight="1">
      <c r="A38" s="126">
        <v>8</v>
      </c>
      <c r="B38" s="141"/>
      <c r="C38" s="147"/>
      <c r="D38" s="124"/>
      <c r="E38" s="134" t="str">
        <f>IF(B38="","",IF(D38="","",IFERROR(IF(IFERROR(INDEX('Item Database'!$R$2:$R$500,MATCH(VALUE(B38),'Item Database'!$A$2:$A$500,0)),0)=0,"—",CEILING(D38/INDEX('Item Database'!$R$2:$R$500,MATCH(VALUE(B38),'Item Database'!$A$2:$A$500,0)),1)),IFERROR(IF(IFERROR(INDEX('Item Database'!$R$2:$R$500,MATCH(B38,'Item Database'!$A$2:$A$500,0)),0)=0,"—",CEILING(D38/INDEX('Item Database'!$R$2:$R$500,MATCH(B38,'Item Database'!$A$2:$A$500,0)),1)),""))))</f>
        <v/>
      </c>
      <c r="F38" s="135" t="str">
        <f>IF(B38="","",IF(E38="","",IF(E38="—","",IFERROR(IF(IFERROR(INDEX('Item Database'!$S$2:$S$500,MATCH(VALUE(B38),'Item Database'!$A$2:$A$500,0)),0)=0,"—",E38*INDEX('Item Database'!$S$2:$S$500,MATCH(VALUE(B38),'Item Database'!$A$2:$A$500,0))),IFERROR(E38*INDEX('Item Database'!$S$2:$S$500,MATCH(B38,'Item Database'!$A$2:$A$500,0)),"")))))</f>
        <v/>
      </c>
      <c r="G38" s="112"/>
      <c r="H38" s="125"/>
    </row>
    <row r="39" spans="1:8" ht="21.95" customHeight="1">
      <c r="A39" s="122">
        <v>9</v>
      </c>
      <c r="B39" s="127"/>
      <c r="C39" s="147"/>
      <c r="D39" s="124"/>
      <c r="E39" s="134" t="str">
        <f>IF(B39="","",IF(D39="","",IFERROR(IF(IFERROR(INDEX('Item Database'!$R$2:$R$500,MATCH(VALUE(B39),'Item Database'!$A$2:$A$500,0)),0)=0,"—",CEILING(D39/INDEX('Item Database'!$R$2:$R$500,MATCH(VALUE(B39),'Item Database'!$A$2:$A$500,0)),1)),IFERROR(IF(IFERROR(INDEX('Item Database'!$R$2:$R$500,MATCH(B39,'Item Database'!$A$2:$A$500,0)),0)=0,"—",CEILING(D39/INDEX('Item Database'!$R$2:$R$500,MATCH(B39,'Item Database'!$A$2:$A$500,0)),1)),""))))</f>
        <v/>
      </c>
      <c r="F39" s="135" t="str">
        <f>IF(B39="","",IF(E39="","",IF(E39="—","",IFERROR(IF(IFERROR(INDEX('Item Database'!$S$2:$S$500,MATCH(VALUE(B39),'Item Database'!$A$2:$A$500,0)),0)=0,"—",E39*INDEX('Item Database'!$S$2:$S$500,MATCH(VALUE(B39),'Item Database'!$A$2:$A$500,0))),IFERROR(E39*INDEX('Item Database'!$S$2:$S$500,MATCH(B39,'Item Database'!$A$2:$A$500,0)),"")))))</f>
        <v/>
      </c>
      <c r="G39" s="112"/>
      <c r="H39" s="125"/>
    </row>
    <row r="40" spans="1:8" ht="21.95" customHeight="1">
      <c r="A40" s="126">
        <v>10</v>
      </c>
      <c r="B40" s="127"/>
      <c r="C40" s="147"/>
      <c r="D40" s="124"/>
      <c r="E40" s="134" t="str">
        <f>IF(B40="","",IF(D40="","",IFERROR(IF(IFERROR(INDEX('Item Database'!$R$2:$R$500,MATCH(VALUE(B40),'Item Database'!$A$2:$A$500,0)),0)=0,"—",CEILING(D40/INDEX('Item Database'!$R$2:$R$500,MATCH(VALUE(B40),'Item Database'!$A$2:$A$500,0)),1)),IFERROR(IF(IFERROR(INDEX('Item Database'!$R$2:$R$500,MATCH(B40,'Item Database'!$A$2:$A$500,0)),0)=0,"—",CEILING(D40/INDEX('Item Database'!$R$2:$R$500,MATCH(B40,'Item Database'!$A$2:$A$500,0)),1)),""))))</f>
        <v/>
      </c>
      <c r="F40" s="135" t="str">
        <f>IF(B40="","",IF(E40="","",IF(E40="—","",IFERROR(IF(IFERROR(INDEX('Item Database'!$S$2:$S$500,MATCH(VALUE(B40),'Item Database'!$A$2:$A$500,0)),0)=0,"—",E40*INDEX('Item Database'!$S$2:$S$500,MATCH(VALUE(B40),'Item Database'!$A$2:$A$500,0))),IFERROR(E40*INDEX('Item Database'!$S$2:$S$500,MATCH(B40,'Item Database'!$A$2:$A$500,0)),"")))))</f>
        <v/>
      </c>
      <c r="G40" s="112"/>
      <c r="H40" s="125"/>
    </row>
    <row r="41" spans="1:8" ht="21.95" customHeight="1">
      <c r="A41" s="122">
        <v>11</v>
      </c>
      <c r="B41" s="127"/>
      <c r="C41" s="147"/>
      <c r="D41" s="124"/>
      <c r="E41" s="134" t="str">
        <f>IF(B41="","",IF(D41="","",IFERROR(IF(IFERROR(INDEX('Item Database'!$R$2:$R$500,MATCH(VALUE(B41),'Item Database'!$A$2:$A$500,0)),0)=0,"—",CEILING(D41/INDEX('Item Database'!$R$2:$R$500,MATCH(VALUE(B41),'Item Database'!$A$2:$A$500,0)),1)),IFERROR(IF(IFERROR(INDEX('Item Database'!$R$2:$R$500,MATCH(B41,'Item Database'!$A$2:$A$500,0)),0)=0,"—",CEILING(D41/INDEX('Item Database'!$R$2:$R$500,MATCH(B41,'Item Database'!$A$2:$A$500,0)),1)),""))))</f>
        <v/>
      </c>
      <c r="F41" s="135" t="str">
        <f>IF(B41="","",IF(E41="","",IF(E41="—","",IFERROR(IF(IFERROR(INDEX('Item Database'!$S$2:$S$500,MATCH(VALUE(B41),'Item Database'!$A$2:$A$500,0)),0)=0,"—",E41*INDEX('Item Database'!$S$2:$S$500,MATCH(VALUE(B41),'Item Database'!$A$2:$A$500,0))),IFERROR(E41*INDEX('Item Database'!$S$2:$S$500,MATCH(B41,'Item Database'!$A$2:$A$500,0)),"")))))</f>
        <v/>
      </c>
      <c r="G41" s="112"/>
      <c r="H41" s="125"/>
    </row>
    <row r="42" spans="1:8" ht="21.95" customHeight="1">
      <c r="A42" s="126">
        <v>12</v>
      </c>
      <c r="B42" s="127"/>
      <c r="C42" s="147"/>
      <c r="D42" s="124"/>
      <c r="E42" s="134" t="str">
        <f>IF(B42="","",IF(D42="","",IFERROR(IF(IFERROR(INDEX('Item Database'!$R$2:$R$500,MATCH(VALUE(B42),'Item Database'!$A$2:$A$500,0)),0)=0,"—",CEILING(D42/INDEX('Item Database'!$R$2:$R$500,MATCH(VALUE(B42),'Item Database'!$A$2:$A$500,0)),1)),IFERROR(IF(IFERROR(INDEX('Item Database'!$R$2:$R$500,MATCH(B42,'Item Database'!$A$2:$A$500,0)),0)=0,"—",CEILING(D42/INDEX('Item Database'!$R$2:$R$500,MATCH(B42,'Item Database'!$A$2:$A$500,0)),1)),""))))</f>
        <v/>
      </c>
      <c r="F42" s="135" t="str">
        <f>IF(B42="","",IF(E42="","",IF(E42="—","",IFERROR(IF(IFERROR(INDEX('Item Database'!$S$2:$S$500,MATCH(VALUE(B42),'Item Database'!$A$2:$A$500,0)),0)=0,"—",E42*INDEX('Item Database'!$S$2:$S$500,MATCH(VALUE(B42),'Item Database'!$A$2:$A$500,0))),IFERROR(E42*INDEX('Item Database'!$S$2:$S$500,MATCH(B42,'Item Database'!$A$2:$A$500,0)),"")))))</f>
        <v/>
      </c>
      <c r="G42" s="112"/>
      <c r="H42" s="125"/>
    </row>
    <row r="43" spans="1:8" ht="21.95" customHeight="1">
      <c r="A43" s="122">
        <v>13</v>
      </c>
      <c r="B43" s="127"/>
      <c r="C43" s="147"/>
      <c r="D43" s="124"/>
      <c r="E43" s="134" t="str">
        <f>IF(B43="","",IF(D43="","",IFERROR(IF(IFERROR(INDEX('Item Database'!$R$2:$R$500,MATCH(VALUE(B43),'Item Database'!$A$2:$A$500,0)),0)=0,"—",CEILING(D43/INDEX('Item Database'!$R$2:$R$500,MATCH(VALUE(B43),'Item Database'!$A$2:$A$500,0)),1)),IFERROR(IF(IFERROR(INDEX('Item Database'!$R$2:$R$500,MATCH(B43,'Item Database'!$A$2:$A$500,0)),0)=0,"—",CEILING(D43/INDEX('Item Database'!$R$2:$R$500,MATCH(B43,'Item Database'!$A$2:$A$500,0)),1)),""))))</f>
        <v/>
      </c>
      <c r="F43" s="135" t="str">
        <f>IF(B43="","",IF(E43="","",IF(E43="—","",IFERROR(IF(IFERROR(INDEX('Item Database'!$S$2:$S$500,MATCH(VALUE(B43),'Item Database'!$A$2:$A$500,0)),0)=0,"—",E43*INDEX('Item Database'!$S$2:$S$500,MATCH(VALUE(B43),'Item Database'!$A$2:$A$500,0))),IFERROR(E43*INDEX('Item Database'!$S$2:$S$500,MATCH(B43,'Item Database'!$A$2:$A$500,0)),"")))))</f>
        <v/>
      </c>
      <c r="G43" s="112"/>
      <c r="H43" s="125"/>
    </row>
    <row r="44" spans="1:8" ht="21.95" customHeight="1">
      <c r="A44" s="126">
        <v>14</v>
      </c>
      <c r="B44" s="127"/>
      <c r="C44" s="147"/>
      <c r="D44" s="124"/>
      <c r="E44" s="134" t="str">
        <f>IF(B44="","",IF(D44="","",IFERROR(IF(IFERROR(INDEX('Item Database'!$R$2:$R$500,MATCH(VALUE(B44),'Item Database'!$A$2:$A$500,0)),0)=0,"—",CEILING(D44/INDEX('Item Database'!$R$2:$R$500,MATCH(VALUE(B44),'Item Database'!$A$2:$A$500,0)),1)),IFERROR(IF(IFERROR(INDEX('Item Database'!$R$2:$R$500,MATCH(B44,'Item Database'!$A$2:$A$500,0)),0)=0,"—",CEILING(D44/INDEX('Item Database'!$R$2:$R$500,MATCH(B44,'Item Database'!$A$2:$A$500,0)),1)),""))))</f>
        <v/>
      </c>
      <c r="F44" s="135" t="str">
        <f>IF(B44="","",IF(E44="","",IF(E44="—","",IFERROR(IF(IFERROR(INDEX('Item Database'!$S$2:$S$500,MATCH(VALUE(B44),'Item Database'!$A$2:$A$500,0)),0)=0,"—",E44*INDEX('Item Database'!$S$2:$S$500,MATCH(VALUE(B44),'Item Database'!$A$2:$A$500,0))),IFERROR(E44*INDEX('Item Database'!$S$2:$S$500,MATCH(B44,'Item Database'!$A$2:$A$500,0)),"")))))</f>
        <v/>
      </c>
      <c r="G44" s="112"/>
      <c r="H44" s="125"/>
    </row>
    <row r="45" spans="1:8">
      <c r="A45" s="106" t="s">
        <v>48</v>
      </c>
      <c r="B45" s="104"/>
      <c r="C45" s="104"/>
      <c r="D45" s="104"/>
      <c r="E45" s="104"/>
      <c r="F45" s="104"/>
      <c r="G45" s="104"/>
      <c r="H45" s="104"/>
    </row>
    <row r="46" spans="1:8">
      <c r="A46" s="107" t="s">
        <v>49</v>
      </c>
      <c r="B46" s="112"/>
      <c r="C46" s="104"/>
      <c r="D46" s="104"/>
      <c r="E46" s="104"/>
      <c r="F46" s="104"/>
      <c r="G46" s="104"/>
      <c r="H46" s="104"/>
    </row>
    <row r="47" spans="1:8">
      <c r="A47" s="107" t="s">
        <v>50</v>
      </c>
      <c r="B47" s="123"/>
      <c r="C47" s="104"/>
      <c r="D47" s="104"/>
      <c r="E47" s="104"/>
      <c r="F47" s="104"/>
      <c r="G47" s="104"/>
      <c r="H47" s="104"/>
    </row>
    <row r="48" spans="1:8">
      <c r="A48" s="107" t="s">
        <v>51</v>
      </c>
      <c r="B48" s="123"/>
      <c r="C48" s="104"/>
      <c r="D48" s="104"/>
      <c r="E48" s="104"/>
      <c r="F48" s="104"/>
      <c r="G48" s="104"/>
      <c r="H48" s="104"/>
    </row>
    <row r="49" spans="1:8">
      <c r="A49" s="107" t="s">
        <v>52</v>
      </c>
      <c r="B49" s="112"/>
      <c r="C49" s="104"/>
      <c r="D49" s="104"/>
      <c r="E49" s="104"/>
      <c r="F49" s="104"/>
      <c r="G49" s="104"/>
      <c r="H49" s="104"/>
    </row>
    <row r="50" spans="1:8">
      <c r="A50" s="107" t="s">
        <v>53</v>
      </c>
      <c r="B50" s="112"/>
      <c r="C50" s="104"/>
      <c r="D50" s="104"/>
      <c r="E50" s="104"/>
      <c r="F50" s="104"/>
      <c r="G50" s="104"/>
      <c r="H50" s="104"/>
    </row>
    <row r="51" spans="1:8">
      <c r="A51" s="107" t="s">
        <v>54</v>
      </c>
      <c r="B51" s="112"/>
      <c r="C51" s="104"/>
      <c r="D51" s="104"/>
      <c r="E51" s="104"/>
      <c r="F51" s="104"/>
      <c r="G51" s="104"/>
      <c r="H51" s="104"/>
    </row>
    <row r="52" spans="1:8">
      <c r="A52" s="107" t="s">
        <v>55</v>
      </c>
      <c r="B52" s="112"/>
      <c r="C52" s="104"/>
      <c r="D52" s="104"/>
      <c r="E52" s="104"/>
      <c r="F52" s="104"/>
      <c r="G52" s="104"/>
      <c r="H52" s="104"/>
    </row>
    <row r="53" spans="1:8">
      <c r="A53" s="107" t="s">
        <v>56</v>
      </c>
      <c r="B53" s="112"/>
      <c r="C53" s="104"/>
      <c r="D53" s="104"/>
      <c r="E53" s="104"/>
      <c r="F53" s="104"/>
      <c r="G53" s="104"/>
      <c r="H53" s="104"/>
    </row>
    <row r="54" spans="1:8" ht="15.75" thickBot="1">
      <c r="A54" s="151"/>
      <c r="B54" s="151"/>
      <c r="C54" s="151"/>
      <c r="D54" s="151"/>
      <c r="E54" s="151"/>
      <c r="F54" s="151"/>
      <c r="G54" s="151"/>
      <c r="H54" s="151"/>
    </row>
    <row r="55" spans="1:8" ht="39.950000000000003" customHeight="1">
      <c r="A55" s="104"/>
      <c r="B55" s="152" t="s">
        <v>1095</v>
      </c>
      <c r="C55" s="152"/>
      <c r="D55" s="152"/>
      <c r="E55" s="152"/>
      <c r="F55" s="152"/>
      <c r="G55" s="149"/>
      <c r="H55" s="149"/>
    </row>
    <row r="56" spans="1:8" ht="20.100000000000001" customHeight="1">
      <c r="A56" s="104"/>
      <c r="B56" s="150" t="s">
        <v>1096</v>
      </c>
      <c r="C56" s="150"/>
      <c r="D56" s="150"/>
      <c r="E56" s="150"/>
      <c r="F56" s="150"/>
      <c r="G56" s="104"/>
      <c r="H56" s="104"/>
    </row>
    <row r="57" spans="1:8" ht="8.1" customHeight="1">
      <c r="A57" s="104"/>
      <c r="B57" s="104"/>
      <c r="C57" s="104"/>
      <c r="D57" s="104"/>
      <c r="E57" s="104"/>
      <c r="F57" s="104"/>
      <c r="G57" s="104"/>
      <c r="H57" s="104"/>
    </row>
    <row r="58" spans="1:8" ht="15.75" thickBot="1">
      <c r="A58" s="106" t="s">
        <v>57</v>
      </c>
      <c r="B58" s="104"/>
      <c r="C58" s="104"/>
      <c r="D58" s="104"/>
      <c r="E58" s="104"/>
      <c r="F58" s="104"/>
      <c r="G58" s="104"/>
      <c r="H58" s="104"/>
    </row>
    <row r="59" spans="1:8" ht="27.95" customHeight="1" thickBot="1">
      <c r="A59" s="107" t="s">
        <v>58</v>
      </c>
      <c r="B59" s="128">
        <v>3148</v>
      </c>
      <c r="C59" s="245"/>
      <c r="D59" s="246"/>
      <c r="E59" s="104"/>
      <c r="F59" s="104"/>
      <c r="G59" s="104"/>
      <c r="H59" s="104"/>
    </row>
    <row r="60" spans="1:8">
      <c r="A60" s="247" t="s">
        <v>59</v>
      </c>
      <c r="B60" s="129" t="s">
        <v>1101</v>
      </c>
      <c r="C60" s="104"/>
      <c r="D60" s="104"/>
      <c r="E60" s="104"/>
      <c r="F60" s="104"/>
      <c r="G60" s="104"/>
      <c r="H60" s="104"/>
    </row>
    <row r="61" spans="1:8">
      <c r="A61" s="247" t="s">
        <v>60</v>
      </c>
      <c r="B61" s="130"/>
      <c r="C61" s="104"/>
      <c r="D61" s="104"/>
      <c r="E61" s="104"/>
      <c r="F61" s="104"/>
      <c r="G61" s="104"/>
      <c r="H61" s="104"/>
    </row>
  </sheetData>
  <sheetProtection sheet="1" objects="1" scenarios="1" formatCells="0" formatColumns="0" formatRows="0"/>
  <dataValidations count="8">
    <dataValidation type="list" allowBlank="1" showInputMessage="1" showErrorMessage="1" sqref="E20" xr:uid="{00000000-0002-0000-0200-000000000000}">
      <formula1>"""DDP,FOB,EXW,CIF,CFR,FCA,DAP,DPU,CPT,CIP"""</formula1>
    </dataValidation>
    <dataValidation type="list" allowBlank="1" showInputMessage="1" showErrorMessage="1" sqref="B24" xr:uid="{00000000-0002-0000-0200-000001000000}">
      <formula1>"""Item #,Description"""</formula1>
    </dataValidation>
    <dataValidation type="list" allowBlank="1" showInputMessage="1" promptTitle="Destination" prompt="Select the fulfillment destination for this line item" sqref="H31:H44" xr:uid="{00000000-0002-0000-0200-000002000000}">
      <formula1>"Amazon,Shopify,ShipBob,Floship,Direct,Other"</formula1>
    </dataValidation>
    <dataValidation type="list" allowBlank="1" showInputMessage="1" showErrorMessage="1" promptTitle="Port of Loading" prompt="Select or type a port of loading" sqref="B21" xr:uid="{00000000-0002-0000-0200-000003000000}">
      <formula1>"Ningbo,Shanghai,Shenzhen,Guangzhou,Tianjin,Qingdao,Xiamen,Dalian"</formula1>
    </dataValidation>
    <dataValidation type="list" allowBlank="1" showInputMessage="1" showErrorMessage="1" promptTitle="Country of Origin" prompt="Select or type a country of origin" sqref="B22" xr:uid="{00000000-0002-0000-0200-000004000000}">
      <formula1>"China,United States,Vietnam,India,Bangladesh,Mexico,Taiwan,South Korea,Japan,Indonesia"</formula1>
    </dataValidation>
    <dataValidation type="date" allowBlank="1" showInputMessage="1" promptTitle="Requested Ship Date" prompt="Enter the requested ship date (mm/dd/yyyy)" sqref="B19" xr:uid="{00000000-0002-0000-0200-000005000000}">
      <formula1>36526</formula1>
      <formula2>73050</formula2>
    </dataValidation>
    <dataValidation type="list" allowBlank="1" showInputMessage="1" showErrorMessage="1" sqref="E18" xr:uid="{00000000-0002-0000-0200-000006000000}">
      <formula1>"Container,Air Freight,LCL,Rail,Truck,Ocean FCL,Ocean LCL"</formula1>
    </dataValidation>
    <dataValidation type="list" allowBlank="1" showInputMessage="1" showErrorMessage="1" sqref="B6" xr:uid="{00000000-0002-0000-0200-000007000000}">
      <formula1>"Micahel Todd Beauty,Spa Sciences,NasaFresh MD"</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8000"/>
  </sheetPr>
  <dimension ref="A1:T5"/>
  <sheetViews>
    <sheetView workbookViewId="0">
      <pane ySplit="5" topLeftCell="A9" activePane="bottomLeft" state="frozen"/>
      <selection pane="bottomLeft" activeCell="A6" sqref="A6:XFD6"/>
    </sheetView>
  </sheetViews>
  <sheetFormatPr defaultRowHeight="15"/>
  <cols>
    <col min="1" max="1" width="15.28515625" customWidth="1"/>
    <col min="2" max="2" width="17.140625" customWidth="1"/>
    <col min="3" max="3" width="30.42578125" customWidth="1"/>
    <col min="4" max="4" width="38.140625" customWidth="1"/>
    <col min="5" max="6" width="19" customWidth="1"/>
    <col min="7" max="7" width="21" customWidth="1"/>
    <col min="8" max="8" width="22.85546875" customWidth="1"/>
    <col min="9" max="9" width="17.140625" customWidth="1"/>
    <col min="10" max="10" width="21" customWidth="1"/>
    <col min="11" max="11" width="19" customWidth="1"/>
    <col min="12" max="12" width="57.140625" customWidth="1"/>
    <col min="13" max="13" width="28.5703125" customWidth="1"/>
    <col min="14" max="14" width="15.28515625" customWidth="1"/>
    <col min="15" max="15" width="17.140625" customWidth="1"/>
    <col min="16" max="18" width="15.28515625" customWidth="1"/>
    <col min="19" max="19" width="57.140625" customWidth="1"/>
    <col min="20" max="20" width="53.28515625" customWidth="1"/>
  </cols>
  <sheetData>
    <row r="1" spans="1:20" ht="21" customHeight="1">
      <c r="A1" s="84" t="s">
        <v>177</v>
      </c>
    </row>
    <row r="2" spans="1:20">
      <c r="A2" s="85" t="s">
        <v>178</v>
      </c>
      <c r="B2" s="85" t="s">
        <v>179</v>
      </c>
      <c r="C2" s="85" t="s">
        <v>180</v>
      </c>
      <c r="D2" s="85" t="s">
        <v>181</v>
      </c>
      <c r="E2" s="85" t="s">
        <v>182</v>
      </c>
      <c r="F2" s="85" t="s">
        <v>183</v>
      </c>
      <c r="G2" s="85" t="s">
        <v>184</v>
      </c>
      <c r="H2" s="85" t="s">
        <v>185</v>
      </c>
      <c r="I2" s="85" t="s">
        <v>186</v>
      </c>
      <c r="J2" s="85" t="s">
        <v>187</v>
      </c>
      <c r="K2" s="85" t="s">
        <v>188</v>
      </c>
      <c r="L2" s="85" t="s">
        <v>189</v>
      </c>
      <c r="M2" s="85" t="s">
        <v>190</v>
      </c>
      <c r="N2" s="85" t="s">
        <v>191</v>
      </c>
      <c r="O2" s="85" t="s">
        <v>192</v>
      </c>
      <c r="P2" s="85" t="s">
        <v>193</v>
      </c>
      <c r="Q2" s="85" t="s">
        <v>194</v>
      </c>
      <c r="R2" s="85" t="s">
        <v>195</v>
      </c>
      <c r="S2" s="85" t="s">
        <v>196</v>
      </c>
      <c r="T2" s="85" t="s">
        <v>197</v>
      </c>
    </row>
    <row r="3" spans="1:20">
      <c r="A3" s="86" t="s">
        <v>198</v>
      </c>
      <c r="B3" s="87">
        <v>3149</v>
      </c>
    </row>
    <row r="4" spans="1:20">
      <c r="A4" s="88" t="s">
        <v>199</v>
      </c>
    </row>
    <row r="5" spans="1:20">
      <c r="A5" s="90" t="s">
        <v>178</v>
      </c>
      <c r="B5" s="90" t="s">
        <v>179</v>
      </c>
      <c r="C5" s="90" t="s">
        <v>180</v>
      </c>
      <c r="D5" s="90" t="s">
        <v>181</v>
      </c>
      <c r="E5" s="90" t="s">
        <v>182</v>
      </c>
      <c r="F5" s="90" t="s">
        <v>183</v>
      </c>
      <c r="G5" s="90" t="s">
        <v>184</v>
      </c>
      <c r="H5" s="90" t="s">
        <v>185</v>
      </c>
      <c r="I5" s="90" t="s">
        <v>186</v>
      </c>
      <c r="J5" s="90" t="s">
        <v>187</v>
      </c>
      <c r="K5" s="90" t="s">
        <v>188</v>
      </c>
      <c r="L5" s="90" t="s">
        <v>200</v>
      </c>
      <c r="M5" s="90" t="s">
        <v>190</v>
      </c>
      <c r="N5" s="90" t="s">
        <v>191</v>
      </c>
      <c r="O5" s="90" t="s">
        <v>201</v>
      </c>
      <c r="P5" s="90" t="s">
        <v>193</v>
      </c>
      <c r="Q5" s="90" t="s">
        <v>194</v>
      </c>
      <c r="R5" s="90" t="s">
        <v>195</v>
      </c>
      <c r="S5" s="90" t="s">
        <v>196</v>
      </c>
      <c r="T5" s="100" t="s">
        <v>197</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80"/>
  </sheetPr>
  <dimension ref="A1:W604"/>
  <sheetViews>
    <sheetView tabSelected="1" zoomScaleNormal="100" workbookViewId="0">
      <selection activeCell="B4" sqref="B4"/>
    </sheetView>
  </sheetViews>
  <sheetFormatPr defaultColWidth="10.140625" defaultRowHeight="15"/>
  <cols>
    <col min="1" max="1" width="13.5703125" customWidth="1"/>
  </cols>
  <sheetData>
    <row r="1" spans="1:23">
      <c r="A1" s="81" t="s">
        <v>202</v>
      </c>
      <c r="B1" t="s">
        <v>203</v>
      </c>
      <c r="C1" t="s">
        <v>204</v>
      </c>
      <c r="D1" t="s">
        <v>205</v>
      </c>
      <c r="E1" t="s">
        <v>206</v>
      </c>
      <c r="F1" t="s">
        <v>207</v>
      </c>
      <c r="G1" t="s">
        <v>208</v>
      </c>
      <c r="H1" t="s">
        <v>209</v>
      </c>
      <c r="I1" t="s">
        <v>210</v>
      </c>
      <c r="J1" t="s">
        <v>211</v>
      </c>
      <c r="K1" t="s">
        <v>212</v>
      </c>
      <c r="L1" t="s">
        <v>213</v>
      </c>
      <c r="M1" t="s">
        <v>214</v>
      </c>
      <c r="N1" t="s">
        <v>215</v>
      </c>
      <c r="O1" t="s">
        <v>216</v>
      </c>
      <c r="P1" t="s">
        <v>217</v>
      </c>
      <c r="Q1" t="s">
        <v>218</v>
      </c>
      <c r="R1" t="s">
        <v>219</v>
      </c>
      <c r="S1" t="s">
        <v>220</v>
      </c>
      <c r="T1" t="s">
        <v>221</v>
      </c>
      <c r="U1" t="s">
        <v>222</v>
      </c>
      <c r="V1" t="s">
        <v>223</v>
      </c>
      <c r="W1" t="s">
        <v>224</v>
      </c>
    </row>
    <row r="2" spans="1:23">
      <c r="A2" s="81">
        <v>5139</v>
      </c>
      <c r="C2">
        <v>0</v>
      </c>
      <c r="F2">
        <v>0</v>
      </c>
      <c r="H2">
        <v>0</v>
      </c>
      <c r="J2" t="s">
        <v>225</v>
      </c>
      <c r="K2" t="s">
        <v>225</v>
      </c>
      <c r="Q2">
        <v>0</v>
      </c>
      <c r="R2">
        <v>0</v>
      </c>
      <c r="S2">
        <v>0</v>
      </c>
      <c r="T2">
        <v>0</v>
      </c>
      <c r="V2" t="s">
        <v>226</v>
      </c>
      <c r="W2" t="s">
        <v>227</v>
      </c>
    </row>
    <row r="3" spans="1:23">
      <c r="A3" s="81">
        <v>85239285718</v>
      </c>
      <c r="B3" t="s">
        <v>228</v>
      </c>
      <c r="C3">
        <v>0</v>
      </c>
      <c r="F3">
        <v>0</v>
      </c>
      <c r="G3" t="s">
        <v>229</v>
      </c>
      <c r="H3">
        <v>0</v>
      </c>
      <c r="J3" t="s">
        <v>225</v>
      </c>
      <c r="K3" t="s">
        <v>225</v>
      </c>
      <c r="L3">
        <v>5</v>
      </c>
      <c r="M3">
        <v>5</v>
      </c>
      <c r="N3">
        <v>5</v>
      </c>
      <c r="O3">
        <v>5</v>
      </c>
      <c r="Q3">
        <v>0</v>
      </c>
      <c r="R3">
        <v>1</v>
      </c>
      <c r="S3">
        <v>2E-3</v>
      </c>
      <c r="T3">
        <v>0</v>
      </c>
      <c r="V3" t="s">
        <v>225</v>
      </c>
      <c r="W3" t="s">
        <v>230</v>
      </c>
    </row>
    <row r="4" spans="1:23">
      <c r="A4" s="81">
        <v>116353411318</v>
      </c>
      <c r="B4" t="s">
        <v>231</v>
      </c>
      <c r="C4">
        <v>0</v>
      </c>
      <c r="D4" t="s">
        <v>232</v>
      </c>
      <c r="F4">
        <v>0</v>
      </c>
      <c r="G4" t="s">
        <v>229</v>
      </c>
      <c r="H4">
        <v>0</v>
      </c>
      <c r="J4" t="s">
        <v>225</v>
      </c>
      <c r="K4" t="s">
        <v>225</v>
      </c>
      <c r="Q4">
        <v>0</v>
      </c>
      <c r="R4">
        <v>0</v>
      </c>
      <c r="S4">
        <v>0</v>
      </c>
      <c r="T4">
        <v>0</v>
      </c>
      <c r="V4" t="s">
        <v>225</v>
      </c>
    </row>
    <row r="5" spans="1:23">
      <c r="A5" s="81">
        <v>130886897555</v>
      </c>
      <c r="B5" t="s">
        <v>233</v>
      </c>
      <c r="C5">
        <v>0</v>
      </c>
      <c r="F5">
        <v>0</v>
      </c>
      <c r="G5" t="s">
        <v>229</v>
      </c>
      <c r="H5">
        <v>0</v>
      </c>
      <c r="J5" t="s">
        <v>225</v>
      </c>
      <c r="K5" t="s">
        <v>225</v>
      </c>
      <c r="Q5">
        <v>0</v>
      </c>
      <c r="R5">
        <v>0</v>
      </c>
      <c r="S5">
        <v>0</v>
      </c>
      <c r="T5">
        <v>0</v>
      </c>
      <c r="V5" t="s">
        <v>225</v>
      </c>
    </row>
    <row r="6" spans="1:23">
      <c r="A6" s="81">
        <v>1469</v>
      </c>
      <c r="B6" t="s">
        <v>234</v>
      </c>
      <c r="C6">
        <v>0</v>
      </c>
      <c r="F6">
        <v>0</v>
      </c>
      <c r="G6" t="s">
        <v>229</v>
      </c>
      <c r="H6">
        <v>0</v>
      </c>
      <c r="J6" t="s">
        <v>225</v>
      </c>
      <c r="K6" t="s">
        <v>225</v>
      </c>
      <c r="Q6">
        <v>0</v>
      </c>
      <c r="R6">
        <v>0</v>
      </c>
      <c r="S6">
        <v>0</v>
      </c>
      <c r="T6">
        <v>0</v>
      </c>
      <c r="V6" t="s">
        <v>225</v>
      </c>
    </row>
    <row r="7" spans="1:23">
      <c r="A7" s="81">
        <v>180243776725</v>
      </c>
      <c r="B7" t="s">
        <v>235</v>
      </c>
      <c r="C7">
        <v>0</v>
      </c>
      <c r="D7" t="s">
        <v>232</v>
      </c>
      <c r="F7">
        <v>0</v>
      </c>
      <c r="G7" t="s">
        <v>229</v>
      </c>
      <c r="H7">
        <v>0</v>
      </c>
      <c r="J7" t="s">
        <v>225</v>
      </c>
      <c r="K7" t="s">
        <v>225</v>
      </c>
      <c r="Q7">
        <v>0</v>
      </c>
      <c r="R7">
        <v>0</v>
      </c>
      <c r="S7">
        <v>0</v>
      </c>
      <c r="T7">
        <v>0</v>
      </c>
      <c r="V7" t="s">
        <v>225</v>
      </c>
    </row>
    <row r="8" spans="1:23">
      <c r="A8" s="81">
        <v>180243776726</v>
      </c>
      <c r="B8" t="s">
        <v>236</v>
      </c>
      <c r="C8">
        <v>0</v>
      </c>
      <c r="D8" t="s">
        <v>232</v>
      </c>
      <c r="F8">
        <v>0</v>
      </c>
      <c r="G8" t="s">
        <v>229</v>
      </c>
      <c r="H8">
        <v>0</v>
      </c>
      <c r="J8" t="s">
        <v>225</v>
      </c>
      <c r="K8" t="s">
        <v>225</v>
      </c>
      <c r="Q8">
        <v>0</v>
      </c>
      <c r="R8">
        <v>0</v>
      </c>
      <c r="S8">
        <v>0</v>
      </c>
      <c r="T8">
        <v>0</v>
      </c>
      <c r="V8" t="s">
        <v>225</v>
      </c>
    </row>
    <row r="9" spans="1:23">
      <c r="A9" s="81">
        <v>180243776727</v>
      </c>
      <c r="B9" t="s">
        <v>237</v>
      </c>
      <c r="C9">
        <v>0</v>
      </c>
      <c r="D9" t="s">
        <v>238</v>
      </c>
      <c r="F9">
        <v>0</v>
      </c>
      <c r="G9" t="s">
        <v>229</v>
      </c>
      <c r="H9">
        <v>0</v>
      </c>
      <c r="J9" t="s">
        <v>225</v>
      </c>
      <c r="K9" t="s">
        <v>225</v>
      </c>
      <c r="Q9">
        <v>0</v>
      </c>
      <c r="R9">
        <v>0</v>
      </c>
      <c r="S9">
        <v>0</v>
      </c>
      <c r="T9">
        <v>0</v>
      </c>
      <c r="V9" t="s">
        <v>225</v>
      </c>
    </row>
    <row r="10" spans="1:23">
      <c r="A10" s="81">
        <v>2258653298</v>
      </c>
      <c r="B10" t="s">
        <v>239</v>
      </c>
      <c r="C10">
        <v>0</v>
      </c>
      <c r="F10">
        <v>0</v>
      </c>
      <c r="G10" t="s">
        <v>229</v>
      </c>
      <c r="H10">
        <v>0</v>
      </c>
      <c r="J10" t="s">
        <v>225</v>
      </c>
      <c r="K10" t="s">
        <v>225</v>
      </c>
      <c r="Q10">
        <v>0</v>
      </c>
      <c r="R10">
        <v>0</v>
      </c>
      <c r="S10">
        <v>0</v>
      </c>
      <c r="T10">
        <v>0</v>
      </c>
      <c r="V10" t="s">
        <v>225</v>
      </c>
    </row>
    <row r="11" spans="1:23">
      <c r="A11" s="81">
        <v>243814699317</v>
      </c>
      <c r="B11" t="s">
        <v>240</v>
      </c>
      <c r="C11">
        <v>0</v>
      </c>
      <c r="F11">
        <v>0</v>
      </c>
      <c r="G11" t="s">
        <v>229</v>
      </c>
      <c r="H11">
        <v>0</v>
      </c>
      <c r="J11" t="s">
        <v>225</v>
      </c>
      <c r="K11" t="s">
        <v>225</v>
      </c>
      <c r="Q11">
        <v>0</v>
      </c>
      <c r="R11">
        <v>0</v>
      </c>
      <c r="S11">
        <v>0</v>
      </c>
      <c r="T11">
        <v>0</v>
      </c>
      <c r="V11" t="s">
        <v>225</v>
      </c>
    </row>
    <row r="12" spans="1:23">
      <c r="A12" s="81">
        <v>243814699327</v>
      </c>
      <c r="B12" t="s">
        <v>240</v>
      </c>
      <c r="C12">
        <v>0</v>
      </c>
      <c r="F12">
        <v>0</v>
      </c>
      <c r="G12" t="s">
        <v>229</v>
      </c>
      <c r="H12">
        <v>0</v>
      </c>
      <c r="J12" t="s">
        <v>225</v>
      </c>
      <c r="K12" t="s">
        <v>225</v>
      </c>
      <c r="Q12">
        <v>0</v>
      </c>
      <c r="R12">
        <v>0</v>
      </c>
      <c r="S12">
        <v>0</v>
      </c>
      <c r="T12">
        <v>0</v>
      </c>
      <c r="V12" t="s">
        <v>225</v>
      </c>
    </row>
    <row r="13" spans="1:23">
      <c r="A13" s="81">
        <v>33502545200</v>
      </c>
      <c r="B13" t="s">
        <v>241</v>
      </c>
      <c r="C13">
        <v>0</v>
      </c>
      <c r="D13" t="s">
        <v>242</v>
      </c>
      <c r="F13">
        <v>0</v>
      </c>
      <c r="G13" t="s">
        <v>229</v>
      </c>
      <c r="H13">
        <v>0</v>
      </c>
      <c r="J13" t="s">
        <v>225</v>
      </c>
      <c r="K13" t="s">
        <v>225</v>
      </c>
      <c r="Q13">
        <v>0</v>
      </c>
      <c r="R13">
        <v>0</v>
      </c>
      <c r="S13">
        <v>0</v>
      </c>
      <c r="T13">
        <v>0</v>
      </c>
      <c r="V13" t="s">
        <v>225</v>
      </c>
    </row>
    <row r="14" spans="1:23">
      <c r="A14" s="81">
        <v>33502545201</v>
      </c>
      <c r="B14" t="s">
        <v>243</v>
      </c>
      <c r="C14">
        <v>0</v>
      </c>
      <c r="D14" t="s">
        <v>244</v>
      </c>
      <c r="F14">
        <v>0</v>
      </c>
      <c r="G14" t="s">
        <v>229</v>
      </c>
      <c r="H14">
        <v>0</v>
      </c>
      <c r="J14" t="s">
        <v>225</v>
      </c>
      <c r="K14" t="s">
        <v>225</v>
      </c>
      <c r="Q14">
        <v>0</v>
      </c>
      <c r="R14">
        <v>0</v>
      </c>
      <c r="S14">
        <v>0</v>
      </c>
      <c r="T14">
        <v>0</v>
      </c>
      <c r="V14" t="s">
        <v>225</v>
      </c>
    </row>
    <row r="15" spans="1:23">
      <c r="A15" s="81">
        <v>33502545202</v>
      </c>
      <c r="B15" t="s">
        <v>245</v>
      </c>
      <c r="C15">
        <v>0</v>
      </c>
      <c r="D15" t="s">
        <v>242</v>
      </c>
      <c r="F15">
        <v>0</v>
      </c>
      <c r="G15" t="s">
        <v>229</v>
      </c>
      <c r="H15">
        <v>0</v>
      </c>
      <c r="J15" t="s">
        <v>225</v>
      </c>
      <c r="K15" t="s">
        <v>225</v>
      </c>
      <c r="Q15">
        <v>0</v>
      </c>
      <c r="R15">
        <v>0</v>
      </c>
      <c r="S15">
        <v>0</v>
      </c>
      <c r="T15">
        <v>0</v>
      </c>
      <c r="V15" t="s">
        <v>226</v>
      </c>
    </row>
    <row r="16" spans="1:23">
      <c r="A16" s="81">
        <v>33502545203</v>
      </c>
      <c r="B16" t="s">
        <v>246</v>
      </c>
      <c r="C16">
        <v>0</v>
      </c>
      <c r="D16" t="s">
        <v>242</v>
      </c>
      <c r="F16">
        <v>0</v>
      </c>
      <c r="G16" t="s">
        <v>229</v>
      </c>
      <c r="H16">
        <v>0</v>
      </c>
      <c r="J16" t="s">
        <v>225</v>
      </c>
      <c r="K16" t="s">
        <v>225</v>
      </c>
      <c r="Q16">
        <v>0</v>
      </c>
      <c r="R16">
        <v>0</v>
      </c>
      <c r="S16">
        <v>0</v>
      </c>
      <c r="T16">
        <v>0</v>
      </c>
      <c r="V16" t="s">
        <v>225</v>
      </c>
    </row>
    <row r="17" spans="1:22">
      <c r="A17" s="81">
        <v>600258369147</v>
      </c>
      <c r="B17" t="s">
        <v>247</v>
      </c>
      <c r="C17">
        <v>0</v>
      </c>
      <c r="D17" t="s">
        <v>242</v>
      </c>
      <c r="E17" s="82">
        <v>45539</v>
      </c>
      <c r="F17">
        <v>0</v>
      </c>
      <c r="G17" t="s">
        <v>229</v>
      </c>
      <c r="H17">
        <v>0</v>
      </c>
      <c r="J17" t="s">
        <v>225</v>
      </c>
      <c r="K17" t="s">
        <v>225</v>
      </c>
      <c r="Q17">
        <v>0</v>
      </c>
      <c r="R17">
        <v>0</v>
      </c>
      <c r="S17">
        <v>0</v>
      </c>
      <c r="T17">
        <v>0</v>
      </c>
      <c r="V17" t="s">
        <v>225</v>
      </c>
    </row>
    <row r="18" spans="1:22">
      <c r="A18" s="81">
        <v>600258369148</v>
      </c>
      <c r="B18" t="s">
        <v>248</v>
      </c>
      <c r="C18">
        <v>0</v>
      </c>
      <c r="F18">
        <v>0</v>
      </c>
      <c r="G18" t="s">
        <v>229</v>
      </c>
      <c r="H18">
        <v>0</v>
      </c>
      <c r="J18" t="s">
        <v>225</v>
      </c>
      <c r="K18" t="s">
        <v>225</v>
      </c>
      <c r="Q18">
        <v>0</v>
      </c>
      <c r="R18">
        <v>0</v>
      </c>
      <c r="S18">
        <v>0</v>
      </c>
      <c r="T18">
        <v>0</v>
      </c>
      <c r="V18" t="s">
        <v>225</v>
      </c>
    </row>
    <row r="19" spans="1:22">
      <c r="A19" s="81">
        <v>6007</v>
      </c>
      <c r="C19">
        <v>0</v>
      </c>
      <c r="F19">
        <v>0</v>
      </c>
      <c r="H19">
        <v>0</v>
      </c>
      <c r="J19" t="s">
        <v>225</v>
      </c>
      <c r="K19" t="s">
        <v>225</v>
      </c>
      <c r="Q19">
        <v>0</v>
      </c>
      <c r="R19">
        <v>0</v>
      </c>
      <c r="S19">
        <v>0</v>
      </c>
      <c r="T19">
        <v>0</v>
      </c>
      <c r="V19" t="s">
        <v>225</v>
      </c>
    </row>
    <row r="20" spans="1:22">
      <c r="A20" s="81">
        <v>600988711983</v>
      </c>
      <c r="B20" t="s">
        <v>249</v>
      </c>
      <c r="C20">
        <v>261</v>
      </c>
      <c r="D20" t="s">
        <v>250</v>
      </c>
      <c r="E20" s="82">
        <v>45594</v>
      </c>
      <c r="F20">
        <v>0</v>
      </c>
      <c r="G20" t="s">
        <v>251</v>
      </c>
      <c r="H20">
        <v>0</v>
      </c>
      <c r="J20" t="s">
        <v>225</v>
      </c>
      <c r="K20" t="s">
        <v>225</v>
      </c>
      <c r="L20">
        <v>5</v>
      </c>
      <c r="M20">
        <v>5</v>
      </c>
      <c r="N20">
        <v>5</v>
      </c>
      <c r="O20">
        <v>5</v>
      </c>
      <c r="Q20">
        <v>0</v>
      </c>
      <c r="R20">
        <v>90</v>
      </c>
      <c r="S20">
        <v>0.184</v>
      </c>
      <c r="T20">
        <v>0</v>
      </c>
      <c r="V20" t="s">
        <v>225</v>
      </c>
    </row>
    <row r="21" spans="1:22">
      <c r="A21" s="81">
        <v>603827046277</v>
      </c>
      <c r="B21" t="s">
        <v>252</v>
      </c>
      <c r="C21" s="83">
        <v>12868</v>
      </c>
      <c r="D21" t="s">
        <v>250</v>
      </c>
      <c r="E21" s="82">
        <v>45553</v>
      </c>
      <c r="F21">
        <v>0</v>
      </c>
      <c r="G21" t="s">
        <v>251</v>
      </c>
      <c r="H21">
        <v>0</v>
      </c>
      <c r="J21" t="s">
        <v>225</v>
      </c>
      <c r="K21" t="s">
        <v>225</v>
      </c>
      <c r="L21">
        <v>5</v>
      </c>
      <c r="M21">
        <v>5</v>
      </c>
      <c r="N21">
        <v>5</v>
      </c>
      <c r="O21">
        <v>5</v>
      </c>
      <c r="Q21">
        <v>100</v>
      </c>
      <c r="R21">
        <v>500</v>
      </c>
      <c r="S21">
        <v>1.024</v>
      </c>
      <c r="T21">
        <v>0</v>
      </c>
      <c r="V21" t="s">
        <v>225</v>
      </c>
    </row>
    <row r="22" spans="1:22">
      <c r="A22" s="81">
        <v>607052523732</v>
      </c>
      <c r="B22" t="s">
        <v>253</v>
      </c>
      <c r="C22">
        <v>0</v>
      </c>
      <c r="E22" s="82">
        <v>45078</v>
      </c>
      <c r="F22">
        <v>0</v>
      </c>
      <c r="G22" t="s">
        <v>251</v>
      </c>
      <c r="H22">
        <v>0</v>
      </c>
      <c r="J22" t="s">
        <v>225</v>
      </c>
      <c r="K22" t="s">
        <v>225</v>
      </c>
      <c r="L22">
        <v>5</v>
      </c>
      <c r="M22">
        <v>5</v>
      </c>
      <c r="N22">
        <v>5</v>
      </c>
      <c r="O22">
        <v>5</v>
      </c>
      <c r="P22">
        <v>859886007722</v>
      </c>
      <c r="Q22">
        <v>0</v>
      </c>
      <c r="R22">
        <v>36</v>
      </c>
      <c r="S22">
        <v>0.01</v>
      </c>
      <c r="T22">
        <v>0</v>
      </c>
      <c r="V22" t="s">
        <v>225</v>
      </c>
    </row>
    <row r="23" spans="1:22">
      <c r="A23" s="81">
        <v>652805254326</v>
      </c>
      <c r="B23" t="s">
        <v>254</v>
      </c>
      <c r="C23" s="83">
        <v>1007</v>
      </c>
      <c r="D23" t="s">
        <v>238</v>
      </c>
      <c r="E23" s="82">
        <v>45679</v>
      </c>
      <c r="F23">
        <v>0</v>
      </c>
      <c r="G23" t="s">
        <v>251</v>
      </c>
      <c r="H23">
        <v>0</v>
      </c>
      <c r="J23" t="s">
        <v>225</v>
      </c>
      <c r="K23" t="s">
        <v>225</v>
      </c>
      <c r="L23">
        <v>5</v>
      </c>
      <c r="M23">
        <v>5</v>
      </c>
      <c r="N23">
        <v>5</v>
      </c>
      <c r="O23">
        <v>5</v>
      </c>
      <c r="Q23">
        <v>0</v>
      </c>
      <c r="R23">
        <v>100</v>
      </c>
      <c r="S23">
        <v>1.9E-2</v>
      </c>
      <c r="T23">
        <v>0</v>
      </c>
      <c r="V23" t="s">
        <v>225</v>
      </c>
    </row>
    <row r="24" spans="1:22">
      <c r="A24" s="81">
        <v>709311878123</v>
      </c>
      <c r="B24" t="s">
        <v>255</v>
      </c>
      <c r="C24">
        <v>198</v>
      </c>
      <c r="D24" t="s">
        <v>250</v>
      </c>
      <c r="E24" s="82">
        <v>45400</v>
      </c>
      <c r="F24">
        <v>0</v>
      </c>
      <c r="G24" t="s">
        <v>251</v>
      </c>
      <c r="H24">
        <v>0</v>
      </c>
      <c r="J24" t="s">
        <v>225</v>
      </c>
      <c r="K24" t="s">
        <v>225</v>
      </c>
      <c r="L24">
        <v>5</v>
      </c>
      <c r="M24">
        <v>5</v>
      </c>
      <c r="N24">
        <v>5</v>
      </c>
      <c r="O24">
        <v>5</v>
      </c>
      <c r="Q24">
        <v>0</v>
      </c>
      <c r="R24">
        <v>36</v>
      </c>
      <c r="S24">
        <v>7.3999999999999996E-2</v>
      </c>
      <c r="T24">
        <v>0</v>
      </c>
      <c r="V24" t="s">
        <v>225</v>
      </c>
    </row>
    <row r="25" spans="1:22">
      <c r="A25" s="81">
        <v>709311878390</v>
      </c>
      <c r="B25" t="s">
        <v>256</v>
      </c>
      <c r="C25">
        <v>512</v>
      </c>
      <c r="D25" t="s">
        <v>250</v>
      </c>
      <c r="E25" s="82">
        <v>45602</v>
      </c>
      <c r="F25">
        <v>0</v>
      </c>
      <c r="G25" t="s">
        <v>251</v>
      </c>
      <c r="H25">
        <v>0</v>
      </c>
      <c r="J25" t="s">
        <v>225</v>
      </c>
      <c r="K25" t="s">
        <v>225</v>
      </c>
      <c r="L25">
        <v>5</v>
      </c>
      <c r="M25">
        <v>5</v>
      </c>
      <c r="N25">
        <v>5</v>
      </c>
      <c r="O25">
        <v>5</v>
      </c>
      <c r="Q25">
        <v>0</v>
      </c>
      <c r="R25">
        <v>40</v>
      </c>
      <c r="S25">
        <v>4.5999999999999999E-2</v>
      </c>
      <c r="T25">
        <v>0</v>
      </c>
      <c r="V25" t="s">
        <v>225</v>
      </c>
    </row>
    <row r="26" spans="1:22">
      <c r="A26" s="81">
        <v>709311878406</v>
      </c>
      <c r="B26" t="s">
        <v>257</v>
      </c>
      <c r="C26">
        <v>711</v>
      </c>
      <c r="E26" s="82">
        <v>44438</v>
      </c>
      <c r="F26">
        <v>0</v>
      </c>
      <c r="G26" t="s">
        <v>251</v>
      </c>
      <c r="H26">
        <v>0</v>
      </c>
      <c r="J26" t="s">
        <v>225</v>
      </c>
      <c r="K26" t="s">
        <v>225</v>
      </c>
      <c r="L26">
        <v>5</v>
      </c>
      <c r="M26">
        <v>5</v>
      </c>
      <c r="N26">
        <v>5</v>
      </c>
      <c r="O26">
        <v>5</v>
      </c>
      <c r="Q26">
        <v>0</v>
      </c>
      <c r="R26">
        <v>40</v>
      </c>
      <c r="S26">
        <v>8.2000000000000003E-2</v>
      </c>
      <c r="T26">
        <v>0</v>
      </c>
      <c r="V26" t="s">
        <v>225</v>
      </c>
    </row>
    <row r="27" spans="1:22">
      <c r="A27" s="81">
        <v>709311878413</v>
      </c>
      <c r="B27" t="s">
        <v>258</v>
      </c>
      <c r="C27">
        <v>881</v>
      </c>
      <c r="D27" t="s">
        <v>250</v>
      </c>
      <c r="E27" s="82">
        <v>46099</v>
      </c>
      <c r="F27">
        <v>2</v>
      </c>
      <c r="G27" t="s">
        <v>259</v>
      </c>
      <c r="H27">
        <v>0</v>
      </c>
      <c r="J27" t="s">
        <v>225</v>
      </c>
      <c r="K27" t="s">
        <v>225</v>
      </c>
      <c r="L27">
        <v>5</v>
      </c>
      <c r="M27">
        <v>5</v>
      </c>
      <c r="N27">
        <v>5</v>
      </c>
      <c r="O27">
        <v>5</v>
      </c>
      <c r="Q27">
        <v>0</v>
      </c>
      <c r="R27">
        <v>40</v>
      </c>
      <c r="S27">
        <v>0.02</v>
      </c>
      <c r="T27">
        <v>0</v>
      </c>
      <c r="V27" t="s">
        <v>225</v>
      </c>
    </row>
    <row r="28" spans="1:22">
      <c r="A28" s="81">
        <v>709311878420</v>
      </c>
      <c r="B28" t="s">
        <v>260</v>
      </c>
      <c r="C28">
        <v>619</v>
      </c>
      <c r="D28" t="s">
        <v>250</v>
      </c>
      <c r="E28" s="82">
        <v>46022</v>
      </c>
      <c r="F28">
        <v>0</v>
      </c>
      <c r="G28" t="s">
        <v>251</v>
      </c>
      <c r="H28">
        <v>0</v>
      </c>
      <c r="J28" t="s">
        <v>225</v>
      </c>
      <c r="K28" t="s">
        <v>225</v>
      </c>
      <c r="L28">
        <v>5</v>
      </c>
      <c r="M28">
        <v>5</v>
      </c>
      <c r="N28">
        <v>5</v>
      </c>
      <c r="O28">
        <v>5</v>
      </c>
      <c r="Q28">
        <v>0</v>
      </c>
      <c r="R28">
        <v>40</v>
      </c>
      <c r="S28">
        <v>0.02</v>
      </c>
      <c r="T28">
        <v>0</v>
      </c>
      <c r="V28" t="s">
        <v>225</v>
      </c>
    </row>
    <row r="29" spans="1:22">
      <c r="A29" s="81">
        <v>709311878437</v>
      </c>
      <c r="B29" t="s">
        <v>261</v>
      </c>
      <c r="C29">
        <v>57</v>
      </c>
      <c r="D29" t="s">
        <v>250</v>
      </c>
      <c r="F29">
        <v>0</v>
      </c>
      <c r="G29" t="s">
        <v>259</v>
      </c>
      <c r="H29">
        <v>0</v>
      </c>
      <c r="J29" t="s">
        <v>225</v>
      </c>
      <c r="K29" t="s">
        <v>225</v>
      </c>
      <c r="L29">
        <v>5</v>
      </c>
      <c r="M29">
        <v>5</v>
      </c>
      <c r="N29">
        <v>5</v>
      </c>
      <c r="O29">
        <v>5</v>
      </c>
      <c r="Q29">
        <v>0</v>
      </c>
      <c r="R29">
        <v>40</v>
      </c>
      <c r="S29">
        <v>0.02</v>
      </c>
      <c r="T29">
        <v>0</v>
      </c>
      <c r="V29" t="s">
        <v>225</v>
      </c>
    </row>
    <row r="30" spans="1:22">
      <c r="A30" s="81">
        <v>709311878482</v>
      </c>
      <c r="B30" t="s">
        <v>260</v>
      </c>
      <c r="C30">
        <v>120</v>
      </c>
      <c r="E30" s="82">
        <v>44522</v>
      </c>
      <c r="F30">
        <v>0</v>
      </c>
      <c r="G30" t="s">
        <v>251</v>
      </c>
      <c r="H30">
        <v>0</v>
      </c>
      <c r="J30" t="s">
        <v>225</v>
      </c>
      <c r="K30" t="s">
        <v>225</v>
      </c>
      <c r="L30">
        <v>5</v>
      </c>
      <c r="M30">
        <v>5</v>
      </c>
      <c r="N30">
        <v>5</v>
      </c>
      <c r="O30">
        <v>5</v>
      </c>
      <c r="Q30">
        <v>0</v>
      </c>
      <c r="R30">
        <v>40</v>
      </c>
      <c r="S30">
        <v>8.2000000000000003E-2</v>
      </c>
      <c r="T30">
        <v>0</v>
      </c>
      <c r="V30" t="s">
        <v>225</v>
      </c>
    </row>
    <row r="31" spans="1:22">
      <c r="A31" s="81">
        <v>709311878505</v>
      </c>
      <c r="B31" t="s">
        <v>262</v>
      </c>
      <c r="C31">
        <v>0</v>
      </c>
      <c r="F31">
        <v>0</v>
      </c>
      <c r="H31">
        <v>0</v>
      </c>
      <c r="J31" t="s">
        <v>225</v>
      </c>
      <c r="K31" t="s">
        <v>225</v>
      </c>
      <c r="L31">
        <v>5</v>
      </c>
      <c r="M31">
        <v>5</v>
      </c>
      <c r="N31">
        <v>5</v>
      </c>
      <c r="O31">
        <v>5</v>
      </c>
      <c r="Q31">
        <v>0</v>
      </c>
      <c r="R31">
        <v>0</v>
      </c>
      <c r="S31">
        <v>0</v>
      </c>
      <c r="T31">
        <v>0</v>
      </c>
      <c r="V31" t="s">
        <v>225</v>
      </c>
    </row>
    <row r="32" spans="1:22">
      <c r="A32" s="81">
        <v>753940523262</v>
      </c>
      <c r="C32">
        <v>0</v>
      </c>
      <c r="F32">
        <v>0</v>
      </c>
      <c r="H32">
        <v>0</v>
      </c>
      <c r="J32" t="s">
        <v>225</v>
      </c>
      <c r="K32" t="s">
        <v>225</v>
      </c>
      <c r="Q32">
        <v>0</v>
      </c>
      <c r="R32">
        <v>0</v>
      </c>
      <c r="S32">
        <v>0</v>
      </c>
      <c r="T32">
        <v>0</v>
      </c>
      <c r="V32" t="s">
        <v>225</v>
      </c>
    </row>
    <row r="33" spans="1:22">
      <c r="A33" s="81">
        <v>811573030000</v>
      </c>
      <c r="B33" t="s">
        <v>263</v>
      </c>
      <c r="C33" s="83">
        <v>3335</v>
      </c>
      <c r="D33" t="s">
        <v>250</v>
      </c>
      <c r="E33" s="82">
        <v>45846</v>
      </c>
      <c r="F33">
        <v>0</v>
      </c>
      <c r="G33" t="s">
        <v>251</v>
      </c>
      <c r="H33">
        <v>0</v>
      </c>
      <c r="J33" t="s">
        <v>225</v>
      </c>
      <c r="K33" t="s">
        <v>225</v>
      </c>
      <c r="L33">
        <v>5</v>
      </c>
      <c r="M33">
        <v>5</v>
      </c>
      <c r="N33">
        <v>5</v>
      </c>
      <c r="O33">
        <v>5</v>
      </c>
      <c r="Q33">
        <v>0</v>
      </c>
      <c r="R33">
        <v>24</v>
      </c>
      <c r="S33">
        <v>4.9000000000000002E-2</v>
      </c>
      <c r="T33">
        <v>0</v>
      </c>
      <c r="V33" t="s">
        <v>225</v>
      </c>
    </row>
    <row r="34" spans="1:22">
      <c r="A34" s="81">
        <v>811573030086</v>
      </c>
      <c r="B34" t="s">
        <v>264</v>
      </c>
      <c r="C34">
        <v>0</v>
      </c>
      <c r="D34" t="s">
        <v>250</v>
      </c>
      <c r="E34" s="82">
        <v>45838</v>
      </c>
      <c r="F34">
        <v>0</v>
      </c>
      <c r="G34" t="s">
        <v>251</v>
      </c>
      <c r="H34">
        <v>0</v>
      </c>
      <c r="J34" t="s">
        <v>225</v>
      </c>
      <c r="K34" t="s">
        <v>225</v>
      </c>
      <c r="L34">
        <v>5</v>
      </c>
      <c r="M34">
        <v>5</v>
      </c>
      <c r="N34">
        <v>5</v>
      </c>
      <c r="O34">
        <v>5</v>
      </c>
      <c r="Q34">
        <v>6</v>
      </c>
      <c r="R34">
        <v>12</v>
      </c>
      <c r="S34">
        <v>7.0000000000000007E-2</v>
      </c>
      <c r="T34">
        <v>0</v>
      </c>
      <c r="V34" t="s">
        <v>225</v>
      </c>
    </row>
    <row r="35" spans="1:22">
      <c r="A35" s="81">
        <v>811573030093</v>
      </c>
      <c r="B35" t="s">
        <v>265</v>
      </c>
      <c r="C35">
        <v>487</v>
      </c>
      <c r="D35" t="s">
        <v>250</v>
      </c>
      <c r="E35" s="82">
        <v>46097</v>
      </c>
      <c r="F35">
        <v>4</v>
      </c>
      <c r="G35" t="s">
        <v>251</v>
      </c>
      <c r="H35">
        <v>0</v>
      </c>
      <c r="J35" t="s">
        <v>225</v>
      </c>
      <c r="K35" t="s">
        <v>225</v>
      </c>
      <c r="L35">
        <v>5</v>
      </c>
      <c r="M35">
        <v>5</v>
      </c>
      <c r="N35">
        <v>5</v>
      </c>
      <c r="O35">
        <v>5</v>
      </c>
      <c r="Q35">
        <v>6</v>
      </c>
      <c r="R35">
        <v>12</v>
      </c>
      <c r="S35">
        <v>7.0000000000000007E-2</v>
      </c>
      <c r="T35">
        <v>0</v>
      </c>
      <c r="V35" t="s">
        <v>225</v>
      </c>
    </row>
    <row r="36" spans="1:22">
      <c r="A36" s="81">
        <v>811573030123</v>
      </c>
      <c r="B36" t="s">
        <v>266</v>
      </c>
      <c r="C36" s="83">
        <v>1829</v>
      </c>
      <c r="D36" t="s">
        <v>250</v>
      </c>
      <c r="E36" s="82">
        <v>46022</v>
      </c>
      <c r="F36">
        <v>1</v>
      </c>
      <c r="G36" t="s">
        <v>251</v>
      </c>
      <c r="H36">
        <v>0</v>
      </c>
      <c r="J36" t="s">
        <v>225</v>
      </c>
      <c r="K36" t="s">
        <v>225</v>
      </c>
      <c r="L36">
        <v>5</v>
      </c>
      <c r="M36">
        <v>5</v>
      </c>
      <c r="N36">
        <v>5</v>
      </c>
      <c r="O36">
        <v>5</v>
      </c>
      <c r="Q36">
        <v>0</v>
      </c>
      <c r="R36">
        <v>24</v>
      </c>
      <c r="S36">
        <v>3.1E-2</v>
      </c>
      <c r="T36">
        <v>0</v>
      </c>
      <c r="V36" t="s">
        <v>225</v>
      </c>
    </row>
    <row r="37" spans="1:22">
      <c r="A37" s="81">
        <v>811573030192</v>
      </c>
      <c r="B37" t="s">
        <v>267</v>
      </c>
      <c r="C37">
        <v>745</v>
      </c>
      <c r="D37" t="s">
        <v>250</v>
      </c>
      <c r="E37" s="82">
        <v>45646</v>
      </c>
      <c r="F37">
        <v>0</v>
      </c>
      <c r="G37" t="s">
        <v>251</v>
      </c>
      <c r="H37">
        <v>0</v>
      </c>
      <c r="J37" t="s">
        <v>225</v>
      </c>
      <c r="K37" t="s">
        <v>225</v>
      </c>
      <c r="L37">
        <v>5</v>
      </c>
      <c r="M37">
        <v>5</v>
      </c>
      <c r="N37">
        <v>5</v>
      </c>
      <c r="O37">
        <v>5</v>
      </c>
      <c r="Q37">
        <v>6</v>
      </c>
      <c r="R37">
        <v>24</v>
      </c>
      <c r="S37">
        <v>0.01</v>
      </c>
      <c r="T37">
        <v>0</v>
      </c>
      <c r="V37" t="s">
        <v>225</v>
      </c>
    </row>
    <row r="38" spans="1:22">
      <c r="A38" s="81">
        <v>811573030208</v>
      </c>
      <c r="B38" t="s">
        <v>268</v>
      </c>
      <c r="C38">
        <v>671</v>
      </c>
      <c r="D38" t="s">
        <v>250</v>
      </c>
      <c r="E38" s="82">
        <v>45261</v>
      </c>
      <c r="F38">
        <v>0</v>
      </c>
      <c r="G38" t="s">
        <v>251</v>
      </c>
      <c r="H38">
        <v>0</v>
      </c>
      <c r="J38" t="s">
        <v>225</v>
      </c>
      <c r="K38" t="s">
        <v>225</v>
      </c>
      <c r="L38">
        <v>5</v>
      </c>
      <c r="M38">
        <v>5</v>
      </c>
      <c r="N38">
        <v>5</v>
      </c>
      <c r="O38">
        <v>5</v>
      </c>
      <c r="Q38">
        <v>6</v>
      </c>
      <c r="R38">
        <v>24</v>
      </c>
      <c r="S38">
        <v>0.01</v>
      </c>
      <c r="T38">
        <v>0</v>
      </c>
      <c r="V38" t="s">
        <v>225</v>
      </c>
    </row>
    <row r="39" spans="1:22">
      <c r="A39" s="81">
        <v>811573030215</v>
      </c>
      <c r="B39" t="s">
        <v>269</v>
      </c>
      <c r="C39">
        <v>610</v>
      </c>
      <c r="D39" t="s">
        <v>250</v>
      </c>
      <c r="E39" s="82">
        <v>45851</v>
      </c>
      <c r="F39">
        <v>0</v>
      </c>
      <c r="G39" t="s">
        <v>251</v>
      </c>
      <c r="H39">
        <v>0</v>
      </c>
      <c r="J39" t="s">
        <v>225</v>
      </c>
      <c r="K39" t="s">
        <v>225</v>
      </c>
      <c r="L39">
        <v>5</v>
      </c>
      <c r="M39">
        <v>5</v>
      </c>
      <c r="N39">
        <v>5</v>
      </c>
      <c r="O39">
        <v>5</v>
      </c>
      <c r="Q39">
        <v>6</v>
      </c>
      <c r="R39">
        <v>24</v>
      </c>
      <c r="S39">
        <v>0.01</v>
      </c>
      <c r="T39">
        <v>0</v>
      </c>
      <c r="V39" t="s">
        <v>225</v>
      </c>
    </row>
    <row r="40" spans="1:22">
      <c r="A40" s="81">
        <v>811573030222</v>
      </c>
      <c r="B40" t="s">
        <v>270</v>
      </c>
      <c r="C40">
        <v>506</v>
      </c>
      <c r="D40" t="s">
        <v>250</v>
      </c>
      <c r="E40" s="82">
        <v>45236</v>
      </c>
      <c r="F40">
        <v>0</v>
      </c>
      <c r="G40" t="s">
        <v>251</v>
      </c>
      <c r="H40">
        <v>0</v>
      </c>
      <c r="J40" t="s">
        <v>225</v>
      </c>
      <c r="K40" t="s">
        <v>225</v>
      </c>
      <c r="L40">
        <v>5</v>
      </c>
      <c r="M40">
        <v>5</v>
      </c>
      <c r="N40">
        <v>5</v>
      </c>
      <c r="O40">
        <v>5</v>
      </c>
      <c r="Q40">
        <v>6</v>
      </c>
      <c r="R40">
        <v>24</v>
      </c>
      <c r="S40">
        <v>0.01</v>
      </c>
      <c r="T40">
        <v>0</v>
      </c>
      <c r="V40" t="s">
        <v>225</v>
      </c>
    </row>
    <row r="41" spans="1:22">
      <c r="A41" s="81">
        <v>811573030239</v>
      </c>
      <c r="B41" t="s">
        <v>271</v>
      </c>
      <c r="C41">
        <v>927</v>
      </c>
      <c r="D41" t="s">
        <v>250</v>
      </c>
      <c r="E41" s="82">
        <v>45194</v>
      </c>
      <c r="F41">
        <v>0</v>
      </c>
      <c r="G41" t="s">
        <v>251</v>
      </c>
      <c r="H41">
        <v>0</v>
      </c>
      <c r="J41" t="s">
        <v>225</v>
      </c>
      <c r="K41" t="s">
        <v>225</v>
      </c>
      <c r="L41">
        <v>5</v>
      </c>
      <c r="M41">
        <v>5</v>
      </c>
      <c r="N41">
        <v>5</v>
      </c>
      <c r="O41">
        <v>5</v>
      </c>
      <c r="Q41">
        <v>6</v>
      </c>
      <c r="R41">
        <v>24</v>
      </c>
      <c r="S41">
        <v>0.01</v>
      </c>
      <c r="T41">
        <v>0</v>
      </c>
      <c r="V41" t="s">
        <v>225</v>
      </c>
    </row>
    <row r="42" spans="1:22">
      <c r="A42" s="81">
        <v>811573030314</v>
      </c>
      <c r="B42" t="s">
        <v>272</v>
      </c>
      <c r="C42">
        <v>0</v>
      </c>
      <c r="D42" t="s">
        <v>250</v>
      </c>
      <c r="E42" s="82">
        <v>45847</v>
      </c>
      <c r="F42">
        <v>0</v>
      </c>
      <c r="G42" t="s">
        <v>251</v>
      </c>
      <c r="H42">
        <v>0</v>
      </c>
      <c r="J42" t="s">
        <v>225</v>
      </c>
      <c r="K42" t="s">
        <v>225</v>
      </c>
      <c r="L42">
        <v>5</v>
      </c>
      <c r="M42">
        <v>5</v>
      </c>
      <c r="N42">
        <v>5</v>
      </c>
      <c r="O42">
        <v>5</v>
      </c>
      <c r="Q42">
        <v>6</v>
      </c>
      <c r="R42">
        <v>24</v>
      </c>
      <c r="S42">
        <v>4.9000000000000002E-2</v>
      </c>
      <c r="T42">
        <v>0</v>
      </c>
      <c r="V42" t="s">
        <v>225</v>
      </c>
    </row>
    <row r="43" spans="1:22">
      <c r="A43" s="81" t="s">
        <v>273</v>
      </c>
      <c r="B43" t="s">
        <v>274</v>
      </c>
      <c r="C43">
        <v>0</v>
      </c>
      <c r="D43" t="s">
        <v>275</v>
      </c>
      <c r="E43" s="82">
        <v>44505</v>
      </c>
      <c r="F43">
        <v>0</v>
      </c>
      <c r="G43" t="s">
        <v>276</v>
      </c>
      <c r="H43">
        <v>0</v>
      </c>
      <c r="J43" t="s">
        <v>225</v>
      </c>
      <c r="K43" t="s">
        <v>225</v>
      </c>
      <c r="Q43">
        <v>6</v>
      </c>
      <c r="R43">
        <v>24</v>
      </c>
      <c r="S43">
        <v>0</v>
      </c>
      <c r="T43">
        <v>0</v>
      </c>
      <c r="V43" t="s">
        <v>226</v>
      </c>
    </row>
    <row r="44" spans="1:22">
      <c r="A44" s="81">
        <v>811573030444</v>
      </c>
      <c r="B44" t="s">
        <v>277</v>
      </c>
      <c r="C44">
        <v>0</v>
      </c>
      <c r="D44" t="s">
        <v>250</v>
      </c>
      <c r="E44" s="82">
        <v>45387</v>
      </c>
      <c r="F44">
        <v>0</v>
      </c>
      <c r="G44" t="s">
        <v>251</v>
      </c>
      <c r="H44">
        <v>0</v>
      </c>
      <c r="J44" t="s">
        <v>225</v>
      </c>
      <c r="K44" t="s">
        <v>225</v>
      </c>
      <c r="L44">
        <v>5</v>
      </c>
      <c r="M44">
        <v>5</v>
      </c>
      <c r="N44">
        <v>5</v>
      </c>
      <c r="O44">
        <v>5</v>
      </c>
      <c r="Q44">
        <v>6</v>
      </c>
      <c r="R44">
        <v>24</v>
      </c>
      <c r="S44">
        <v>7.0000000000000007E-2</v>
      </c>
      <c r="T44">
        <v>0</v>
      </c>
      <c r="V44" t="s">
        <v>225</v>
      </c>
    </row>
    <row r="45" spans="1:22">
      <c r="A45" s="81">
        <v>811573030451</v>
      </c>
      <c r="B45" t="s">
        <v>278</v>
      </c>
      <c r="C45">
        <v>0</v>
      </c>
      <c r="D45" t="s">
        <v>250</v>
      </c>
      <c r="E45" s="82">
        <v>45873</v>
      </c>
      <c r="F45">
        <v>0</v>
      </c>
      <c r="G45" t="s">
        <v>251</v>
      </c>
      <c r="H45">
        <v>0</v>
      </c>
      <c r="J45" t="s">
        <v>225</v>
      </c>
      <c r="K45" t="s">
        <v>225</v>
      </c>
      <c r="L45">
        <v>5</v>
      </c>
      <c r="M45">
        <v>5</v>
      </c>
      <c r="N45">
        <v>5</v>
      </c>
      <c r="O45">
        <v>5</v>
      </c>
      <c r="Q45">
        <v>6</v>
      </c>
      <c r="R45">
        <v>24</v>
      </c>
      <c r="S45">
        <v>7.0000000000000007E-2</v>
      </c>
      <c r="T45">
        <v>0</v>
      </c>
      <c r="V45" t="s">
        <v>225</v>
      </c>
    </row>
    <row r="46" spans="1:22">
      <c r="A46" s="81">
        <v>811573030468</v>
      </c>
      <c r="B46" t="s">
        <v>279</v>
      </c>
      <c r="C46" s="83">
        <v>25716</v>
      </c>
      <c r="D46" t="s">
        <v>250</v>
      </c>
      <c r="E46" s="82">
        <v>46038</v>
      </c>
      <c r="F46">
        <v>391</v>
      </c>
      <c r="G46" t="s">
        <v>280</v>
      </c>
      <c r="H46">
        <v>720</v>
      </c>
      <c r="J46" t="s">
        <v>225</v>
      </c>
      <c r="K46" t="s">
        <v>225</v>
      </c>
      <c r="L46">
        <v>5</v>
      </c>
      <c r="M46">
        <v>5</v>
      </c>
      <c r="N46">
        <v>5</v>
      </c>
      <c r="O46">
        <v>5</v>
      </c>
      <c r="Q46">
        <v>0</v>
      </c>
      <c r="R46">
        <v>24</v>
      </c>
      <c r="S46">
        <v>5.8000000000000003E-2</v>
      </c>
      <c r="T46">
        <v>0</v>
      </c>
      <c r="V46" t="s">
        <v>225</v>
      </c>
    </row>
    <row r="47" spans="1:22">
      <c r="A47" s="81" t="s">
        <v>281</v>
      </c>
      <c r="B47" t="s">
        <v>282</v>
      </c>
      <c r="C47">
        <v>0</v>
      </c>
      <c r="E47" s="82">
        <v>44484</v>
      </c>
      <c r="F47">
        <v>0</v>
      </c>
      <c r="G47" t="s">
        <v>276</v>
      </c>
      <c r="H47">
        <v>0</v>
      </c>
      <c r="J47" t="s">
        <v>225</v>
      </c>
      <c r="K47" t="s">
        <v>225</v>
      </c>
      <c r="Q47">
        <v>6</v>
      </c>
      <c r="R47">
        <v>24</v>
      </c>
      <c r="S47">
        <v>0</v>
      </c>
      <c r="T47">
        <v>0</v>
      </c>
      <c r="V47" t="s">
        <v>226</v>
      </c>
    </row>
    <row r="48" spans="1:22">
      <c r="A48" s="81">
        <v>811573030482</v>
      </c>
      <c r="B48" t="s">
        <v>283</v>
      </c>
      <c r="C48">
        <v>0</v>
      </c>
      <c r="D48" t="s">
        <v>250</v>
      </c>
      <c r="E48" s="82">
        <v>45370</v>
      </c>
      <c r="F48">
        <v>0</v>
      </c>
      <c r="G48" t="s">
        <v>251</v>
      </c>
      <c r="H48">
        <v>0</v>
      </c>
      <c r="J48" t="s">
        <v>225</v>
      </c>
      <c r="K48" t="s">
        <v>225</v>
      </c>
      <c r="L48">
        <v>5</v>
      </c>
      <c r="M48">
        <v>5</v>
      </c>
      <c r="N48">
        <v>5</v>
      </c>
      <c r="O48">
        <v>5</v>
      </c>
      <c r="Q48">
        <v>6</v>
      </c>
      <c r="R48">
        <v>24</v>
      </c>
      <c r="S48">
        <v>0.06</v>
      </c>
      <c r="T48">
        <v>0</v>
      </c>
      <c r="V48" t="s">
        <v>225</v>
      </c>
    </row>
    <row r="49" spans="1:22">
      <c r="A49" s="81">
        <v>811573030499</v>
      </c>
      <c r="B49" t="s">
        <v>284</v>
      </c>
      <c r="C49">
        <v>649</v>
      </c>
      <c r="D49" t="s">
        <v>250</v>
      </c>
      <c r="E49" s="82">
        <v>45937</v>
      </c>
      <c r="F49">
        <v>0</v>
      </c>
      <c r="G49" t="s">
        <v>251</v>
      </c>
      <c r="H49">
        <v>0</v>
      </c>
      <c r="J49" t="s">
        <v>225</v>
      </c>
      <c r="K49" t="s">
        <v>225</v>
      </c>
      <c r="L49">
        <v>5</v>
      </c>
      <c r="M49">
        <v>5</v>
      </c>
      <c r="N49">
        <v>5</v>
      </c>
      <c r="O49">
        <v>5</v>
      </c>
      <c r="Q49">
        <v>12</v>
      </c>
      <c r="R49">
        <v>36</v>
      </c>
      <c r="S49">
        <v>0.01</v>
      </c>
      <c r="T49">
        <v>0</v>
      </c>
      <c r="V49" t="s">
        <v>225</v>
      </c>
    </row>
    <row r="50" spans="1:22">
      <c r="A50" s="81">
        <v>811573030536</v>
      </c>
      <c r="B50" t="s">
        <v>285</v>
      </c>
      <c r="C50">
        <v>0</v>
      </c>
      <c r="D50" t="s">
        <v>250</v>
      </c>
      <c r="E50" s="82">
        <v>46070</v>
      </c>
      <c r="F50">
        <v>0</v>
      </c>
      <c r="G50" t="s">
        <v>251</v>
      </c>
      <c r="H50">
        <v>0</v>
      </c>
      <c r="J50" t="s">
        <v>225</v>
      </c>
      <c r="K50" t="s">
        <v>225</v>
      </c>
      <c r="L50">
        <v>5</v>
      </c>
      <c r="M50">
        <v>5</v>
      </c>
      <c r="N50">
        <v>5</v>
      </c>
      <c r="O50">
        <v>5</v>
      </c>
      <c r="Q50">
        <v>6</v>
      </c>
      <c r="R50">
        <v>24</v>
      </c>
      <c r="S50">
        <v>0.06</v>
      </c>
      <c r="T50">
        <v>0</v>
      </c>
      <c r="V50" t="s">
        <v>225</v>
      </c>
    </row>
    <row r="51" spans="1:22">
      <c r="A51" s="81">
        <v>811573030642</v>
      </c>
      <c r="B51" t="s">
        <v>286</v>
      </c>
      <c r="C51">
        <v>0</v>
      </c>
      <c r="D51" t="s">
        <v>250</v>
      </c>
      <c r="E51" s="82">
        <v>45938</v>
      </c>
      <c r="F51">
        <v>0</v>
      </c>
      <c r="G51" t="s">
        <v>251</v>
      </c>
      <c r="H51">
        <v>0</v>
      </c>
      <c r="J51" t="s">
        <v>225</v>
      </c>
      <c r="K51" t="s">
        <v>225</v>
      </c>
      <c r="L51">
        <v>5</v>
      </c>
      <c r="M51">
        <v>5</v>
      </c>
      <c r="N51">
        <v>5</v>
      </c>
      <c r="O51">
        <v>5</v>
      </c>
      <c r="Q51">
        <v>6</v>
      </c>
      <c r="R51">
        <v>24</v>
      </c>
      <c r="S51">
        <v>0.06</v>
      </c>
      <c r="T51">
        <v>0</v>
      </c>
      <c r="V51" t="s">
        <v>225</v>
      </c>
    </row>
    <row r="52" spans="1:22">
      <c r="A52" s="81">
        <v>811573030666</v>
      </c>
      <c r="B52" t="s">
        <v>287</v>
      </c>
      <c r="C52" s="83">
        <v>1919</v>
      </c>
      <c r="D52" t="s">
        <v>250</v>
      </c>
      <c r="E52" s="82">
        <v>46022</v>
      </c>
      <c r="F52">
        <v>0</v>
      </c>
      <c r="G52" t="s">
        <v>251</v>
      </c>
      <c r="H52">
        <v>0</v>
      </c>
      <c r="J52" t="s">
        <v>225</v>
      </c>
      <c r="K52" t="s">
        <v>225</v>
      </c>
      <c r="L52">
        <v>5</v>
      </c>
      <c r="M52">
        <v>5</v>
      </c>
      <c r="N52">
        <v>5</v>
      </c>
      <c r="O52">
        <v>5</v>
      </c>
      <c r="Q52">
        <v>6</v>
      </c>
      <c r="R52">
        <v>24</v>
      </c>
      <c r="S52">
        <v>0.06</v>
      </c>
      <c r="T52">
        <v>0</v>
      </c>
      <c r="V52" t="s">
        <v>225</v>
      </c>
    </row>
    <row r="53" spans="1:22">
      <c r="A53" s="81">
        <v>811573030758</v>
      </c>
      <c r="B53" t="s">
        <v>288</v>
      </c>
      <c r="C53">
        <v>0</v>
      </c>
      <c r="D53" t="s">
        <v>250</v>
      </c>
      <c r="E53" s="82">
        <v>45719</v>
      </c>
      <c r="F53">
        <v>0</v>
      </c>
      <c r="G53" t="s">
        <v>251</v>
      </c>
      <c r="H53">
        <v>0</v>
      </c>
      <c r="J53" t="s">
        <v>225</v>
      </c>
      <c r="K53" t="s">
        <v>225</v>
      </c>
      <c r="L53">
        <v>5</v>
      </c>
      <c r="M53">
        <v>5</v>
      </c>
      <c r="N53">
        <v>5</v>
      </c>
      <c r="O53">
        <v>5</v>
      </c>
      <c r="Q53">
        <v>6</v>
      </c>
      <c r="R53">
        <v>24</v>
      </c>
      <c r="S53">
        <v>7.0000000000000007E-2</v>
      </c>
      <c r="T53">
        <v>0</v>
      </c>
      <c r="V53" t="s">
        <v>225</v>
      </c>
    </row>
    <row r="54" spans="1:22">
      <c r="A54" s="81">
        <v>811573030819</v>
      </c>
      <c r="B54" t="s">
        <v>289</v>
      </c>
      <c r="C54">
        <v>18</v>
      </c>
      <c r="D54" t="s">
        <v>250</v>
      </c>
      <c r="E54" s="82">
        <v>45869</v>
      </c>
      <c r="F54">
        <v>0</v>
      </c>
      <c r="G54" t="s">
        <v>251</v>
      </c>
      <c r="H54">
        <v>0</v>
      </c>
      <c r="J54" t="s">
        <v>225</v>
      </c>
      <c r="K54" t="s">
        <v>225</v>
      </c>
      <c r="L54">
        <v>5</v>
      </c>
      <c r="M54">
        <v>5</v>
      </c>
      <c r="N54">
        <v>5</v>
      </c>
      <c r="O54">
        <v>5</v>
      </c>
      <c r="Q54">
        <v>6</v>
      </c>
      <c r="R54">
        <v>24</v>
      </c>
      <c r="S54">
        <v>7.0000000000000007E-2</v>
      </c>
      <c r="T54">
        <v>0</v>
      </c>
      <c r="V54" t="s">
        <v>225</v>
      </c>
    </row>
    <row r="55" spans="1:22">
      <c r="A55" s="81">
        <v>811573030840</v>
      </c>
      <c r="B55" t="s">
        <v>290</v>
      </c>
      <c r="C55">
        <v>865</v>
      </c>
      <c r="D55" t="s">
        <v>250</v>
      </c>
      <c r="E55" s="82">
        <v>45583</v>
      </c>
      <c r="F55">
        <v>0</v>
      </c>
      <c r="G55" t="s">
        <v>251</v>
      </c>
      <c r="H55">
        <v>0</v>
      </c>
      <c r="J55" t="s">
        <v>225</v>
      </c>
      <c r="K55" t="s">
        <v>225</v>
      </c>
      <c r="L55">
        <v>5</v>
      </c>
      <c r="M55">
        <v>5</v>
      </c>
      <c r="N55">
        <v>5</v>
      </c>
      <c r="O55">
        <v>5</v>
      </c>
      <c r="Q55">
        <v>6</v>
      </c>
      <c r="R55">
        <v>24</v>
      </c>
      <c r="S55">
        <v>0.13</v>
      </c>
      <c r="T55">
        <v>0</v>
      </c>
      <c r="V55" t="s">
        <v>225</v>
      </c>
    </row>
    <row r="56" spans="1:22">
      <c r="A56" s="81">
        <v>811573030864</v>
      </c>
      <c r="B56" t="s">
        <v>291</v>
      </c>
      <c r="C56">
        <v>518</v>
      </c>
      <c r="D56" t="s">
        <v>250</v>
      </c>
      <c r="E56" s="82">
        <v>45938</v>
      </c>
      <c r="F56">
        <v>0</v>
      </c>
      <c r="G56" t="s">
        <v>251</v>
      </c>
      <c r="H56">
        <v>0</v>
      </c>
      <c r="J56" t="s">
        <v>225</v>
      </c>
      <c r="K56" t="s">
        <v>225</v>
      </c>
      <c r="L56">
        <v>5</v>
      </c>
      <c r="M56">
        <v>5</v>
      </c>
      <c r="N56">
        <v>5</v>
      </c>
      <c r="O56">
        <v>5</v>
      </c>
      <c r="Q56">
        <v>12</v>
      </c>
      <c r="R56">
        <v>36</v>
      </c>
      <c r="S56">
        <v>0.02</v>
      </c>
      <c r="T56">
        <v>0</v>
      </c>
      <c r="V56" t="s">
        <v>225</v>
      </c>
    </row>
    <row r="57" spans="1:22">
      <c r="A57" s="81">
        <v>811573030895</v>
      </c>
      <c r="B57" t="s">
        <v>292</v>
      </c>
      <c r="C57">
        <v>0</v>
      </c>
      <c r="D57" t="s">
        <v>250</v>
      </c>
      <c r="E57" s="82">
        <v>45980</v>
      </c>
      <c r="F57">
        <v>0</v>
      </c>
      <c r="G57" t="s">
        <v>251</v>
      </c>
      <c r="H57">
        <v>0</v>
      </c>
      <c r="J57" t="s">
        <v>225</v>
      </c>
      <c r="K57" t="s">
        <v>225</v>
      </c>
      <c r="L57">
        <v>5</v>
      </c>
      <c r="M57">
        <v>5</v>
      </c>
      <c r="N57">
        <v>5</v>
      </c>
      <c r="O57">
        <v>5</v>
      </c>
      <c r="Q57">
        <v>12</v>
      </c>
      <c r="R57">
        <v>36</v>
      </c>
      <c r="S57">
        <v>6.0000000000000001E-3</v>
      </c>
      <c r="T57">
        <v>0</v>
      </c>
      <c r="V57" t="s">
        <v>225</v>
      </c>
    </row>
    <row r="58" spans="1:22">
      <c r="A58" s="81">
        <v>811573030901</v>
      </c>
      <c r="B58" t="s">
        <v>293</v>
      </c>
      <c r="C58">
        <v>0</v>
      </c>
      <c r="D58" t="s">
        <v>250</v>
      </c>
      <c r="E58" s="82">
        <v>45835</v>
      </c>
      <c r="F58">
        <v>0</v>
      </c>
      <c r="G58" t="s">
        <v>251</v>
      </c>
      <c r="H58">
        <v>0</v>
      </c>
      <c r="J58" t="s">
        <v>225</v>
      </c>
      <c r="K58" t="s">
        <v>225</v>
      </c>
      <c r="L58">
        <v>5</v>
      </c>
      <c r="M58">
        <v>5</v>
      </c>
      <c r="N58">
        <v>5</v>
      </c>
      <c r="O58">
        <v>5</v>
      </c>
      <c r="Q58">
        <v>6</v>
      </c>
      <c r="R58">
        <v>12</v>
      </c>
      <c r="S58">
        <v>7.0000000000000007E-2</v>
      </c>
      <c r="T58">
        <v>0</v>
      </c>
      <c r="V58" t="s">
        <v>225</v>
      </c>
    </row>
    <row r="59" spans="1:22">
      <c r="A59" s="81">
        <v>811573030918</v>
      </c>
      <c r="B59" t="s">
        <v>294</v>
      </c>
      <c r="C59">
        <v>2</v>
      </c>
      <c r="D59" t="s">
        <v>250</v>
      </c>
      <c r="E59" s="82">
        <v>46035</v>
      </c>
      <c r="F59">
        <v>0</v>
      </c>
      <c r="G59" t="s">
        <v>251</v>
      </c>
      <c r="H59">
        <v>0</v>
      </c>
      <c r="J59" t="s">
        <v>225</v>
      </c>
      <c r="K59" t="s">
        <v>225</v>
      </c>
      <c r="L59">
        <v>5</v>
      </c>
      <c r="M59">
        <v>5</v>
      </c>
      <c r="N59">
        <v>5</v>
      </c>
      <c r="O59">
        <v>5</v>
      </c>
      <c r="Q59">
        <v>6</v>
      </c>
      <c r="R59">
        <v>12</v>
      </c>
      <c r="S59">
        <v>7.0000000000000007E-2</v>
      </c>
      <c r="T59">
        <v>0</v>
      </c>
      <c r="V59" t="s">
        <v>225</v>
      </c>
    </row>
    <row r="60" spans="1:22">
      <c r="A60" s="81">
        <v>811573030932</v>
      </c>
      <c r="B60" t="s">
        <v>295</v>
      </c>
      <c r="C60">
        <v>85</v>
      </c>
      <c r="D60" t="s">
        <v>250</v>
      </c>
      <c r="E60" s="82">
        <v>46099</v>
      </c>
      <c r="F60">
        <v>0</v>
      </c>
      <c r="G60" t="s">
        <v>251</v>
      </c>
      <c r="H60">
        <v>0</v>
      </c>
      <c r="J60" t="s">
        <v>225</v>
      </c>
      <c r="K60" t="s">
        <v>225</v>
      </c>
      <c r="L60">
        <v>5</v>
      </c>
      <c r="M60">
        <v>5</v>
      </c>
      <c r="N60">
        <v>5</v>
      </c>
      <c r="O60">
        <v>5</v>
      </c>
      <c r="Q60">
        <v>12</v>
      </c>
      <c r="R60">
        <v>36</v>
      </c>
      <c r="S60">
        <v>0.02</v>
      </c>
      <c r="T60">
        <v>0</v>
      </c>
      <c r="V60" t="s">
        <v>225</v>
      </c>
    </row>
    <row r="61" spans="1:22">
      <c r="A61" s="81">
        <v>811573030949</v>
      </c>
      <c r="B61" t="s">
        <v>296</v>
      </c>
      <c r="C61">
        <v>66</v>
      </c>
      <c r="D61" t="s">
        <v>250</v>
      </c>
      <c r="E61" s="82">
        <v>45947</v>
      </c>
      <c r="F61">
        <v>0</v>
      </c>
      <c r="G61" t="s">
        <v>251</v>
      </c>
      <c r="H61">
        <v>0</v>
      </c>
      <c r="J61" t="s">
        <v>225</v>
      </c>
      <c r="K61" t="s">
        <v>225</v>
      </c>
      <c r="L61">
        <v>5</v>
      </c>
      <c r="M61">
        <v>5</v>
      </c>
      <c r="N61">
        <v>5</v>
      </c>
      <c r="O61">
        <v>5</v>
      </c>
      <c r="Q61">
        <v>12</v>
      </c>
      <c r="R61">
        <v>36</v>
      </c>
      <c r="S61">
        <v>0.02</v>
      </c>
      <c r="T61">
        <v>0</v>
      </c>
      <c r="V61" t="s">
        <v>225</v>
      </c>
    </row>
    <row r="62" spans="1:22">
      <c r="A62" s="81">
        <v>811573030956</v>
      </c>
      <c r="B62" t="s">
        <v>297</v>
      </c>
      <c r="C62">
        <v>0</v>
      </c>
      <c r="D62" t="s">
        <v>250</v>
      </c>
      <c r="E62" s="82">
        <v>45643</v>
      </c>
      <c r="F62">
        <v>0</v>
      </c>
      <c r="G62" t="s">
        <v>251</v>
      </c>
      <c r="H62">
        <v>0</v>
      </c>
      <c r="J62" t="s">
        <v>225</v>
      </c>
      <c r="K62" t="s">
        <v>225</v>
      </c>
      <c r="L62">
        <v>5</v>
      </c>
      <c r="M62">
        <v>5</v>
      </c>
      <c r="N62">
        <v>5</v>
      </c>
      <c r="O62">
        <v>5</v>
      </c>
      <c r="Q62">
        <v>6</v>
      </c>
      <c r="R62">
        <v>24</v>
      </c>
      <c r="S62">
        <v>7.0000000000000007E-2</v>
      </c>
      <c r="T62">
        <v>0</v>
      </c>
      <c r="V62" t="s">
        <v>225</v>
      </c>
    </row>
    <row r="63" spans="1:22">
      <c r="A63" s="81">
        <v>811573030963</v>
      </c>
      <c r="B63" t="s">
        <v>298</v>
      </c>
      <c r="C63">
        <v>0</v>
      </c>
      <c r="D63" t="s">
        <v>250</v>
      </c>
      <c r="E63" s="82">
        <v>45817</v>
      </c>
      <c r="F63">
        <v>0</v>
      </c>
      <c r="G63" t="s">
        <v>251</v>
      </c>
      <c r="H63">
        <v>0</v>
      </c>
      <c r="J63" t="s">
        <v>225</v>
      </c>
      <c r="K63" t="s">
        <v>225</v>
      </c>
      <c r="L63">
        <v>5</v>
      </c>
      <c r="M63">
        <v>5</v>
      </c>
      <c r="N63">
        <v>5</v>
      </c>
      <c r="O63">
        <v>5</v>
      </c>
      <c r="Q63">
        <v>6</v>
      </c>
      <c r="R63">
        <v>24</v>
      </c>
      <c r="S63">
        <v>7.0000000000000007E-2</v>
      </c>
      <c r="T63">
        <v>0</v>
      </c>
      <c r="V63" t="s">
        <v>225</v>
      </c>
    </row>
    <row r="64" spans="1:22">
      <c r="A64" s="81">
        <v>811573030970</v>
      </c>
      <c r="B64" t="s">
        <v>299</v>
      </c>
      <c r="C64">
        <v>0</v>
      </c>
      <c r="D64" t="s">
        <v>250</v>
      </c>
      <c r="E64" s="82">
        <v>45895</v>
      </c>
      <c r="F64">
        <v>0</v>
      </c>
      <c r="G64" t="s">
        <v>251</v>
      </c>
      <c r="H64">
        <v>0</v>
      </c>
      <c r="J64" t="s">
        <v>225</v>
      </c>
      <c r="K64" t="s">
        <v>225</v>
      </c>
      <c r="L64">
        <v>5</v>
      </c>
      <c r="M64">
        <v>5</v>
      </c>
      <c r="N64">
        <v>5</v>
      </c>
      <c r="O64">
        <v>5</v>
      </c>
      <c r="Q64">
        <v>6</v>
      </c>
      <c r="R64">
        <v>24</v>
      </c>
      <c r="S64">
        <v>7.0000000000000007E-2</v>
      </c>
      <c r="T64">
        <v>0</v>
      </c>
      <c r="V64" t="s">
        <v>225</v>
      </c>
    </row>
    <row r="65" spans="1:22">
      <c r="A65" s="81">
        <v>811573030987</v>
      </c>
      <c r="B65" t="s">
        <v>300</v>
      </c>
      <c r="C65">
        <v>0</v>
      </c>
      <c r="D65" t="s">
        <v>250</v>
      </c>
      <c r="E65" s="82">
        <v>45663</v>
      </c>
      <c r="F65">
        <v>0</v>
      </c>
      <c r="G65" t="s">
        <v>251</v>
      </c>
      <c r="H65">
        <v>0</v>
      </c>
      <c r="J65" t="s">
        <v>225</v>
      </c>
      <c r="K65" t="s">
        <v>225</v>
      </c>
      <c r="L65">
        <v>5</v>
      </c>
      <c r="M65">
        <v>5</v>
      </c>
      <c r="N65">
        <v>5</v>
      </c>
      <c r="O65">
        <v>5</v>
      </c>
      <c r="Q65">
        <v>6</v>
      </c>
      <c r="R65">
        <v>12</v>
      </c>
      <c r="S65">
        <v>7.0000000000000007E-2</v>
      </c>
      <c r="T65">
        <v>0</v>
      </c>
      <c r="V65" t="s">
        <v>225</v>
      </c>
    </row>
    <row r="66" spans="1:22">
      <c r="A66" s="81">
        <v>811573030994</v>
      </c>
      <c r="B66" t="s">
        <v>301</v>
      </c>
      <c r="C66">
        <v>0</v>
      </c>
      <c r="D66" t="s">
        <v>250</v>
      </c>
      <c r="E66" s="82">
        <v>45838</v>
      </c>
      <c r="F66">
        <v>0</v>
      </c>
      <c r="G66" t="s">
        <v>251</v>
      </c>
      <c r="H66">
        <v>0</v>
      </c>
      <c r="J66" t="s">
        <v>225</v>
      </c>
      <c r="K66" t="s">
        <v>225</v>
      </c>
      <c r="L66">
        <v>5</v>
      </c>
      <c r="M66">
        <v>5</v>
      </c>
      <c r="N66">
        <v>5</v>
      </c>
      <c r="O66">
        <v>5</v>
      </c>
      <c r="Q66">
        <v>6</v>
      </c>
      <c r="R66">
        <v>12</v>
      </c>
      <c r="S66">
        <v>7.0000000000000007E-2</v>
      </c>
      <c r="T66">
        <v>0</v>
      </c>
      <c r="V66" t="s">
        <v>225</v>
      </c>
    </row>
    <row r="67" spans="1:22">
      <c r="A67" s="81">
        <v>811573031007</v>
      </c>
      <c r="B67" t="s">
        <v>302</v>
      </c>
      <c r="C67">
        <v>0</v>
      </c>
      <c r="D67" t="s">
        <v>250</v>
      </c>
      <c r="E67" s="82">
        <v>46035</v>
      </c>
      <c r="F67">
        <v>0</v>
      </c>
      <c r="G67" t="s">
        <v>251</v>
      </c>
      <c r="H67">
        <v>0</v>
      </c>
      <c r="J67" t="s">
        <v>225</v>
      </c>
      <c r="K67" t="s">
        <v>225</v>
      </c>
      <c r="L67">
        <v>5</v>
      </c>
      <c r="M67">
        <v>5</v>
      </c>
      <c r="N67">
        <v>5</v>
      </c>
      <c r="O67">
        <v>5</v>
      </c>
      <c r="Q67">
        <v>6</v>
      </c>
      <c r="R67">
        <v>24</v>
      </c>
      <c r="S67">
        <v>5.3999999999999999E-2</v>
      </c>
      <c r="T67">
        <v>0</v>
      </c>
      <c r="V67" t="s">
        <v>225</v>
      </c>
    </row>
    <row r="68" spans="1:22">
      <c r="A68" s="81">
        <v>811573031014</v>
      </c>
      <c r="B68" t="s">
        <v>303</v>
      </c>
      <c r="C68">
        <v>0</v>
      </c>
      <c r="D68" t="s">
        <v>250</v>
      </c>
      <c r="E68" s="82">
        <v>46041</v>
      </c>
      <c r="F68">
        <v>0</v>
      </c>
      <c r="G68" t="s">
        <v>251</v>
      </c>
      <c r="H68">
        <v>0</v>
      </c>
      <c r="J68" t="s">
        <v>225</v>
      </c>
      <c r="K68" t="s">
        <v>225</v>
      </c>
      <c r="L68">
        <v>5</v>
      </c>
      <c r="M68">
        <v>5</v>
      </c>
      <c r="N68">
        <v>5</v>
      </c>
      <c r="O68">
        <v>5</v>
      </c>
      <c r="Q68">
        <v>6</v>
      </c>
      <c r="R68">
        <v>24</v>
      </c>
      <c r="S68">
        <v>5.3999999999999999E-2</v>
      </c>
      <c r="T68">
        <v>0</v>
      </c>
      <c r="V68" t="s">
        <v>225</v>
      </c>
    </row>
    <row r="69" spans="1:22">
      <c r="A69" s="81">
        <v>811573031021</v>
      </c>
      <c r="B69" t="s">
        <v>304</v>
      </c>
      <c r="C69">
        <v>2</v>
      </c>
      <c r="D69" t="s">
        <v>250</v>
      </c>
      <c r="E69" s="82">
        <v>45699</v>
      </c>
      <c r="F69">
        <v>0</v>
      </c>
      <c r="G69" t="s">
        <v>251</v>
      </c>
      <c r="H69">
        <v>0</v>
      </c>
      <c r="J69" t="s">
        <v>225</v>
      </c>
      <c r="K69" t="s">
        <v>225</v>
      </c>
      <c r="L69">
        <v>5</v>
      </c>
      <c r="M69">
        <v>5</v>
      </c>
      <c r="N69">
        <v>5</v>
      </c>
      <c r="O69">
        <v>5</v>
      </c>
      <c r="Q69">
        <v>6</v>
      </c>
      <c r="R69">
        <v>24</v>
      </c>
      <c r="S69">
        <v>0.02</v>
      </c>
      <c r="T69">
        <v>0</v>
      </c>
      <c r="V69" t="s">
        <v>225</v>
      </c>
    </row>
    <row r="70" spans="1:22">
      <c r="A70" s="81">
        <v>811573031038</v>
      </c>
      <c r="B70" t="s">
        <v>305</v>
      </c>
      <c r="C70">
        <v>535</v>
      </c>
      <c r="D70" t="s">
        <v>250</v>
      </c>
      <c r="E70" s="82">
        <v>45758</v>
      </c>
      <c r="F70">
        <v>0</v>
      </c>
      <c r="G70" t="s">
        <v>251</v>
      </c>
      <c r="H70">
        <v>0</v>
      </c>
      <c r="J70" t="s">
        <v>225</v>
      </c>
      <c r="K70" t="s">
        <v>225</v>
      </c>
      <c r="L70">
        <v>5</v>
      </c>
      <c r="M70">
        <v>5</v>
      </c>
      <c r="N70">
        <v>5</v>
      </c>
      <c r="O70">
        <v>5</v>
      </c>
      <c r="Q70">
        <v>6</v>
      </c>
      <c r="R70">
        <v>24</v>
      </c>
      <c r="S70">
        <v>0.03</v>
      </c>
      <c r="T70">
        <v>0</v>
      </c>
      <c r="V70" t="s">
        <v>225</v>
      </c>
    </row>
    <row r="71" spans="1:22">
      <c r="A71" s="81" t="s">
        <v>306</v>
      </c>
      <c r="B71" t="s">
        <v>307</v>
      </c>
      <c r="C71">
        <v>0</v>
      </c>
      <c r="E71" s="82">
        <v>44392</v>
      </c>
      <c r="F71">
        <v>0</v>
      </c>
      <c r="G71" t="s">
        <v>276</v>
      </c>
      <c r="H71">
        <v>0</v>
      </c>
      <c r="J71" t="s">
        <v>225</v>
      </c>
      <c r="K71" t="s">
        <v>225</v>
      </c>
      <c r="L71">
        <v>5</v>
      </c>
      <c r="M71">
        <v>5</v>
      </c>
      <c r="N71">
        <v>5</v>
      </c>
      <c r="O71">
        <v>5</v>
      </c>
      <c r="Q71">
        <v>6</v>
      </c>
      <c r="R71">
        <v>24</v>
      </c>
      <c r="S71">
        <v>4.9000000000000002E-2</v>
      </c>
      <c r="T71">
        <v>0</v>
      </c>
      <c r="V71" t="s">
        <v>225</v>
      </c>
    </row>
    <row r="72" spans="1:22">
      <c r="A72" s="81">
        <v>811573031045</v>
      </c>
      <c r="B72" t="s">
        <v>308</v>
      </c>
      <c r="C72">
        <v>717</v>
      </c>
      <c r="D72" t="s">
        <v>250</v>
      </c>
      <c r="E72" s="82">
        <v>45194</v>
      </c>
      <c r="F72">
        <v>0</v>
      </c>
      <c r="G72" t="s">
        <v>251</v>
      </c>
      <c r="H72">
        <v>0</v>
      </c>
      <c r="J72" t="s">
        <v>225</v>
      </c>
      <c r="K72" t="s">
        <v>225</v>
      </c>
      <c r="L72">
        <v>5</v>
      </c>
      <c r="M72">
        <v>5</v>
      </c>
      <c r="N72">
        <v>5</v>
      </c>
      <c r="O72">
        <v>5</v>
      </c>
      <c r="Q72">
        <v>6</v>
      </c>
      <c r="R72">
        <v>24</v>
      </c>
      <c r="S72">
        <v>0.01</v>
      </c>
      <c r="T72">
        <v>0</v>
      </c>
      <c r="V72" t="s">
        <v>225</v>
      </c>
    </row>
    <row r="73" spans="1:22">
      <c r="A73" s="81">
        <v>811573031052</v>
      </c>
      <c r="B73" t="s">
        <v>309</v>
      </c>
      <c r="C73">
        <v>521</v>
      </c>
      <c r="D73" t="s">
        <v>250</v>
      </c>
      <c r="E73" s="82">
        <v>44438</v>
      </c>
      <c r="F73">
        <v>0</v>
      </c>
      <c r="G73" t="s">
        <v>251</v>
      </c>
      <c r="H73">
        <v>0</v>
      </c>
      <c r="J73" t="s">
        <v>225</v>
      </c>
      <c r="K73" t="s">
        <v>225</v>
      </c>
      <c r="L73">
        <v>5</v>
      </c>
      <c r="M73">
        <v>5</v>
      </c>
      <c r="N73">
        <v>5</v>
      </c>
      <c r="O73">
        <v>5</v>
      </c>
      <c r="Q73">
        <v>12</v>
      </c>
      <c r="R73">
        <v>36</v>
      </c>
      <c r="S73">
        <v>0.01</v>
      </c>
      <c r="T73">
        <v>0</v>
      </c>
      <c r="V73" t="s">
        <v>225</v>
      </c>
    </row>
    <row r="74" spans="1:22">
      <c r="A74" s="81">
        <v>811573031090</v>
      </c>
      <c r="B74" t="s">
        <v>101</v>
      </c>
      <c r="C74" s="83">
        <v>23464</v>
      </c>
      <c r="D74" t="s">
        <v>250</v>
      </c>
      <c r="E74" s="82">
        <v>46057</v>
      </c>
      <c r="F74">
        <v>157</v>
      </c>
      <c r="G74" t="s">
        <v>310</v>
      </c>
      <c r="H74" s="83">
        <v>16416</v>
      </c>
      <c r="J74" t="s">
        <v>225</v>
      </c>
      <c r="K74" t="s">
        <v>225</v>
      </c>
      <c r="L74">
        <v>5</v>
      </c>
      <c r="M74">
        <v>5</v>
      </c>
      <c r="N74">
        <v>5</v>
      </c>
      <c r="O74">
        <v>5</v>
      </c>
      <c r="Q74">
        <v>6</v>
      </c>
      <c r="R74">
        <v>24</v>
      </c>
      <c r="S74">
        <v>3.6999999999999998E-2</v>
      </c>
      <c r="T74">
        <v>0</v>
      </c>
      <c r="V74" t="s">
        <v>225</v>
      </c>
    </row>
    <row r="75" spans="1:22">
      <c r="A75" s="81">
        <v>811573031106</v>
      </c>
      <c r="B75" t="s">
        <v>311</v>
      </c>
      <c r="C75" s="83">
        <v>7852</v>
      </c>
      <c r="D75" t="s">
        <v>250</v>
      </c>
      <c r="E75" s="82">
        <v>46077</v>
      </c>
      <c r="F75">
        <v>13</v>
      </c>
      <c r="G75" t="s">
        <v>310</v>
      </c>
      <c r="H75">
        <v>336</v>
      </c>
      <c r="J75" t="s">
        <v>225</v>
      </c>
      <c r="K75" t="s">
        <v>225</v>
      </c>
      <c r="L75">
        <v>5</v>
      </c>
      <c r="M75">
        <v>5</v>
      </c>
      <c r="N75">
        <v>5</v>
      </c>
      <c r="O75">
        <v>5</v>
      </c>
      <c r="Q75">
        <v>6</v>
      </c>
      <c r="R75">
        <v>24</v>
      </c>
      <c r="S75">
        <v>3.6999999999999998E-2</v>
      </c>
      <c r="T75">
        <v>0</v>
      </c>
      <c r="V75" t="s">
        <v>225</v>
      </c>
    </row>
    <row r="76" spans="1:22">
      <c r="A76" s="81">
        <v>811573031113</v>
      </c>
      <c r="B76" t="s">
        <v>105</v>
      </c>
      <c r="C76" s="83">
        <v>8068</v>
      </c>
      <c r="D76" t="s">
        <v>250</v>
      </c>
      <c r="E76" s="82">
        <v>46099</v>
      </c>
      <c r="F76">
        <v>25</v>
      </c>
      <c r="G76" t="s">
        <v>310</v>
      </c>
      <c r="H76" s="83">
        <v>2304</v>
      </c>
      <c r="J76" t="s">
        <v>225</v>
      </c>
      <c r="K76" t="s">
        <v>225</v>
      </c>
      <c r="L76">
        <v>5</v>
      </c>
      <c r="M76">
        <v>5</v>
      </c>
      <c r="N76">
        <v>5</v>
      </c>
      <c r="O76">
        <v>5</v>
      </c>
      <c r="Q76">
        <v>6</v>
      </c>
      <c r="R76">
        <v>24</v>
      </c>
      <c r="S76">
        <v>3.6999999999999998E-2</v>
      </c>
      <c r="T76">
        <v>0</v>
      </c>
      <c r="V76" t="s">
        <v>225</v>
      </c>
    </row>
    <row r="77" spans="1:22">
      <c r="A77" s="81">
        <v>811573031120</v>
      </c>
      <c r="B77" t="s">
        <v>312</v>
      </c>
      <c r="C77">
        <v>69</v>
      </c>
      <c r="D77" t="s">
        <v>250</v>
      </c>
      <c r="E77" s="82">
        <v>45455</v>
      </c>
      <c r="F77">
        <v>0</v>
      </c>
      <c r="G77" t="s">
        <v>251</v>
      </c>
      <c r="H77">
        <v>0</v>
      </c>
      <c r="J77" t="s">
        <v>225</v>
      </c>
      <c r="K77" t="s">
        <v>225</v>
      </c>
      <c r="L77">
        <v>5</v>
      </c>
      <c r="M77">
        <v>5</v>
      </c>
      <c r="N77">
        <v>5</v>
      </c>
      <c r="O77">
        <v>5</v>
      </c>
      <c r="Q77">
        <v>12</v>
      </c>
      <c r="R77">
        <v>36</v>
      </c>
      <c r="S77">
        <v>5.0000000000000001E-3</v>
      </c>
      <c r="T77">
        <v>0</v>
      </c>
      <c r="V77" t="s">
        <v>225</v>
      </c>
    </row>
    <row r="78" spans="1:22">
      <c r="A78" s="81">
        <v>811573031168</v>
      </c>
      <c r="B78" t="s">
        <v>313</v>
      </c>
      <c r="C78">
        <v>0</v>
      </c>
      <c r="D78" t="s">
        <v>250</v>
      </c>
      <c r="E78" s="82">
        <v>46022</v>
      </c>
      <c r="F78">
        <v>0</v>
      </c>
      <c r="G78" t="s">
        <v>251</v>
      </c>
      <c r="H78">
        <v>0</v>
      </c>
      <c r="J78" t="s">
        <v>225</v>
      </c>
      <c r="K78" t="s">
        <v>225</v>
      </c>
      <c r="L78">
        <v>5</v>
      </c>
      <c r="M78">
        <v>5</v>
      </c>
      <c r="N78">
        <v>5</v>
      </c>
      <c r="O78">
        <v>5</v>
      </c>
      <c r="Q78">
        <v>6</v>
      </c>
      <c r="R78">
        <v>24</v>
      </c>
      <c r="S78">
        <v>6.6000000000000003E-2</v>
      </c>
      <c r="T78">
        <v>0</v>
      </c>
      <c r="V78" t="s">
        <v>225</v>
      </c>
    </row>
    <row r="79" spans="1:22">
      <c r="A79" s="81">
        <v>811573031175</v>
      </c>
      <c r="B79" t="s">
        <v>314</v>
      </c>
      <c r="C79">
        <v>0</v>
      </c>
      <c r="D79" t="s">
        <v>250</v>
      </c>
      <c r="E79" s="82">
        <v>45869</v>
      </c>
      <c r="F79">
        <v>0</v>
      </c>
      <c r="G79" t="s">
        <v>251</v>
      </c>
      <c r="H79">
        <v>0</v>
      </c>
      <c r="J79" t="s">
        <v>225</v>
      </c>
      <c r="K79" t="s">
        <v>225</v>
      </c>
      <c r="L79">
        <v>5</v>
      </c>
      <c r="M79">
        <v>5</v>
      </c>
      <c r="N79">
        <v>5</v>
      </c>
      <c r="O79">
        <v>5</v>
      </c>
      <c r="Q79">
        <v>0</v>
      </c>
      <c r="R79">
        <v>12</v>
      </c>
      <c r="S79">
        <v>7.0000000000000007E-2</v>
      </c>
      <c r="T79">
        <v>0</v>
      </c>
      <c r="V79" t="s">
        <v>225</v>
      </c>
    </row>
    <row r="80" spans="1:22">
      <c r="A80" s="81">
        <v>811573031182</v>
      </c>
      <c r="B80" t="s">
        <v>315</v>
      </c>
      <c r="C80">
        <v>32</v>
      </c>
      <c r="D80" t="s">
        <v>250</v>
      </c>
      <c r="E80" s="82">
        <v>45615</v>
      </c>
      <c r="F80">
        <v>0</v>
      </c>
      <c r="G80" t="s">
        <v>251</v>
      </c>
      <c r="H80">
        <v>0</v>
      </c>
      <c r="J80" t="s">
        <v>225</v>
      </c>
      <c r="K80" t="s">
        <v>225</v>
      </c>
      <c r="L80">
        <v>5</v>
      </c>
      <c r="M80">
        <v>5</v>
      </c>
      <c r="N80">
        <v>5</v>
      </c>
      <c r="O80">
        <v>5</v>
      </c>
      <c r="Q80">
        <v>0</v>
      </c>
      <c r="R80">
        <v>12</v>
      </c>
      <c r="S80">
        <v>9.1999999999999998E-2</v>
      </c>
      <c r="T80">
        <v>0</v>
      </c>
      <c r="V80" t="s">
        <v>225</v>
      </c>
    </row>
    <row r="81" spans="1:22">
      <c r="A81" s="81" t="s">
        <v>316</v>
      </c>
      <c r="B81" t="s">
        <v>315</v>
      </c>
      <c r="C81">
        <v>0</v>
      </c>
      <c r="D81" t="s">
        <v>317</v>
      </c>
      <c r="E81" s="82">
        <v>44861</v>
      </c>
      <c r="F81">
        <v>0</v>
      </c>
      <c r="G81" t="s">
        <v>276</v>
      </c>
      <c r="H81">
        <v>0</v>
      </c>
      <c r="J81" t="s">
        <v>225</v>
      </c>
      <c r="K81" t="s">
        <v>225</v>
      </c>
      <c r="Q81">
        <v>0</v>
      </c>
      <c r="R81">
        <v>0</v>
      </c>
      <c r="S81">
        <v>0</v>
      </c>
      <c r="T81">
        <v>0</v>
      </c>
      <c r="V81" t="s">
        <v>225</v>
      </c>
    </row>
    <row r="82" spans="1:22">
      <c r="A82" s="81">
        <v>811573031199</v>
      </c>
      <c r="B82" t="s">
        <v>318</v>
      </c>
      <c r="C82" s="83">
        <v>2400</v>
      </c>
      <c r="D82" t="s">
        <v>250</v>
      </c>
      <c r="E82" s="82">
        <v>46022</v>
      </c>
      <c r="F82">
        <v>0</v>
      </c>
      <c r="G82" t="s">
        <v>251</v>
      </c>
      <c r="H82">
        <v>0</v>
      </c>
      <c r="J82" t="s">
        <v>225</v>
      </c>
      <c r="K82" t="s">
        <v>225</v>
      </c>
      <c r="L82">
        <v>5</v>
      </c>
      <c r="M82">
        <v>5</v>
      </c>
      <c r="N82">
        <v>5</v>
      </c>
      <c r="O82">
        <v>5</v>
      </c>
      <c r="Q82">
        <v>12</v>
      </c>
      <c r="R82">
        <v>36</v>
      </c>
      <c r="S82">
        <v>5.0000000000000001E-3</v>
      </c>
      <c r="T82">
        <v>0</v>
      </c>
      <c r="V82" t="s">
        <v>225</v>
      </c>
    </row>
    <row r="83" spans="1:22">
      <c r="A83" s="81">
        <v>811573031205</v>
      </c>
      <c r="B83" t="s">
        <v>319</v>
      </c>
      <c r="C83" s="83">
        <v>1344</v>
      </c>
      <c r="D83" t="s">
        <v>250</v>
      </c>
      <c r="E83" s="82">
        <v>45946</v>
      </c>
      <c r="F83">
        <v>0</v>
      </c>
      <c r="G83" t="s">
        <v>251</v>
      </c>
      <c r="H83">
        <v>0</v>
      </c>
      <c r="J83" t="s">
        <v>225</v>
      </c>
      <c r="K83" t="s">
        <v>225</v>
      </c>
      <c r="L83">
        <v>5</v>
      </c>
      <c r="M83">
        <v>5</v>
      </c>
      <c r="N83">
        <v>5</v>
      </c>
      <c r="O83">
        <v>5</v>
      </c>
      <c r="Q83">
        <v>0</v>
      </c>
      <c r="R83">
        <v>100</v>
      </c>
      <c r="S83">
        <v>3.5999999999999997E-2</v>
      </c>
      <c r="T83">
        <v>0</v>
      </c>
      <c r="V83" t="s">
        <v>225</v>
      </c>
    </row>
    <row r="84" spans="1:22">
      <c r="A84" s="81">
        <v>811573031243</v>
      </c>
      <c r="B84" t="s">
        <v>320</v>
      </c>
      <c r="C84" s="83">
        <v>8169</v>
      </c>
      <c r="D84" t="s">
        <v>250</v>
      </c>
      <c r="E84" s="82">
        <v>46014</v>
      </c>
      <c r="F84">
        <v>2</v>
      </c>
      <c r="G84" t="s">
        <v>310</v>
      </c>
      <c r="H84">
        <v>0</v>
      </c>
      <c r="J84" t="s">
        <v>225</v>
      </c>
      <c r="K84" t="s">
        <v>225</v>
      </c>
      <c r="L84">
        <v>5</v>
      </c>
      <c r="M84">
        <v>5</v>
      </c>
      <c r="N84">
        <v>5</v>
      </c>
      <c r="O84">
        <v>5</v>
      </c>
      <c r="Q84">
        <v>0</v>
      </c>
      <c r="R84">
        <v>48</v>
      </c>
      <c r="S84">
        <v>9.8000000000000004E-2</v>
      </c>
      <c r="T84">
        <v>0</v>
      </c>
      <c r="V84" t="s">
        <v>225</v>
      </c>
    </row>
    <row r="85" spans="1:22">
      <c r="A85" s="81" t="s">
        <v>321</v>
      </c>
      <c r="B85" t="s">
        <v>322</v>
      </c>
      <c r="C85">
        <v>0</v>
      </c>
      <c r="D85" t="s">
        <v>323</v>
      </c>
      <c r="E85" s="82">
        <v>45044</v>
      </c>
      <c r="F85">
        <v>0</v>
      </c>
      <c r="G85" t="s">
        <v>276</v>
      </c>
      <c r="H85">
        <v>0</v>
      </c>
      <c r="J85" t="s">
        <v>225</v>
      </c>
      <c r="K85" t="s">
        <v>225</v>
      </c>
      <c r="Q85">
        <v>0</v>
      </c>
      <c r="R85">
        <v>0</v>
      </c>
      <c r="S85">
        <v>0</v>
      </c>
      <c r="T85">
        <v>0</v>
      </c>
      <c r="V85" t="s">
        <v>225</v>
      </c>
    </row>
    <row r="86" spans="1:22">
      <c r="A86" s="81" t="s">
        <v>324</v>
      </c>
      <c r="B86" t="s">
        <v>325</v>
      </c>
      <c r="C86">
        <v>0</v>
      </c>
      <c r="D86" t="s">
        <v>323</v>
      </c>
      <c r="E86" s="82">
        <v>45820</v>
      </c>
      <c r="F86">
        <v>0</v>
      </c>
      <c r="G86" t="s">
        <v>276</v>
      </c>
      <c r="H86">
        <v>0</v>
      </c>
      <c r="J86" t="s">
        <v>225</v>
      </c>
      <c r="K86" t="s">
        <v>225</v>
      </c>
      <c r="Q86">
        <v>0</v>
      </c>
      <c r="R86">
        <v>0</v>
      </c>
      <c r="S86">
        <v>0</v>
      </c>
      <c r="T86">
        <v>0</v>
      </c>
      <c r="V86" t="s">
        <v>225</v>
      </c>
    </row>
    <row r="87" spans="1:22">
      <c r="A87" s="81">
        <v>811573031250</v>
      </c>
      <c r="B87" t="s">
        <v>326</v>
      </c>
      <c r="C87" s="83">
        <v>8541</v>
      </c>
      <c r="D87" t="s">
        <v>250</v>
      </c>
      <c r="E87" s="82">
        <v>46014</v>
      </c>
      <c r="F87">
        <v>2</v>
      </c>
      <c r="G87" t="s">
        <v>310</v>
      </c>
      <c r="H87">
        <v>0</v>
      </c>
      <c r="J87" t="s">
        <v>225</v>
      </c>
      <c r="K87" t="s">
        <v>225</v>
      </c>
      <c r="L87">
        <v>5</v>
      </c>
      <c r="M87">
        <v>5</v>
      </c>
      <c r="N87">
        <v>5</v>
      </c>
      <c r="O87">
        <v>5</v>
      </c>
      <c r="Q87">
        <v>0</v>
      </c>
      <c r="R87">
        <v>48</v>
      </c>
      <c r="S87">
        <v>9.8000000000000004E-2</v>
      </c>
      <c r="T87">
        <v>0</v>
      </c>
      <c r="V87" t="s">
        <v>225</v>
      </c>
    </row>
    <row r="88" spans="1:22">
      <c r="A88" s="81" t="s">
        <v>327</v>
      </c>
      <c r="B88" t="s">
        <v>328</v>
      </c>
      <c r="C88">
        <v>0</v>
      </c>
      <c r="D88" t="s">
        <v>323</v>
      </c>
      <c r="E88" s="82">
        <v>45044</v>
      </c>
      <c r="F88">
        <v>0</v>
      </c>
      <c r="G88" t="s">
        <v>276</v>
      </c>
      <c r="H88">
        <v>0</v>
      </c>
      <c r="J88" t="s">
        <v>225</v>
      </c>
      <c r="K88" t="s">
        <v>225</v>
      </c>
      <c r="Q88">
        <v>0</v>
      </c>
      <c r="R88">
        <v>0</v>
      </c>
      <c r="S88">
        <v>0</v>
      </c>
      <c r="T88">
        <v>0</v>
      </c>
      <c r="V88" t="s">
        <v>225</v>
      </c>
    </row>
    <row r="89" spans="1:22">
      <c r="A89" s="81" t="s">
        <v>329</v>
      </c>
      <c r="B89" t="s">
        <v>330</v>
      </c>
      <c r="C89">
        <v>0</v>
      </c>
      <c r="D89" t="s">
        <v>323</v>
      </c>
      <c r="E89" s="82">
        <v>45826</v>
      </c>
      <c r="F89">
        <v>0</v>
      </c>
      <c r="G89" t="s">
        <v>276</v>
      </c>
      <c r="H89">
        <v>0</v>
      </c>
      <c r="J89" t="s">
        <v>225</v>
      </c>
      <c r="K89" t="s">
        <v>225</v>
      </c>
      <c r="Q89">
        <v>0</v>
      </c>
      <c r="R89">
        <v>0</v>
      </c>
      <c r="S89">
        <v>0</v>
      </c>
      <c r="T89">
        <v>0</v>
      </c>
      <c r="V89" t="s">
        <v>225</v>
      </c>
    </row>
    <row r="90" spans="1:22">
      <c r="A90" s="81">
        <v>811573031304</v>
      </c>
      <c r="B90" t="s">
        <v>331</v>
      </c>
      <c r="C90">
        <v>0</v>
      </c>
      <c r="F90">
        <v>0</v>
      </c>
      <c r="G90" t="s">
        <v>280</v>
      </c>
      <c r="H90">
        <v>0</v>
      </c>
      <c r="J90" t="s">
        <v>225</v>
      </c>
      <c r="K90" t="s">
        <v>225</v>
      </c>
      <c r="Q90">
        <v>1</v>
      </c>
      <c r="R90">
        <v>24</v>
      </c>
      <c r="S90">
        <v>0</v>
      </c>
      <c r="T90">
        <v>0</v>
      </c>
      <c r="V90" t="s">
        <v>225</v>
      </c>
    </row>
    <row r="91" spans="1:22">
      <c r="A91" s="81">
        <v>811573031311</v>
      </c>
      <c r="B91" t="s">
        <v>332</v>
      </c>
      <c r="C91">
        <v>0</v>
      </c>
      <c r="F91">
        <v>0</v>
      </c>
      <c r="G91" t="s">
        <v>280</v>
      </c>
      <c r="H91">
        <v>0</v>
      </c>
      <c r="J91" t="s">
        <v>225</v>
      </c>
      <c r="K91" t="s">
        <v>225</v>
      </c>
      <c r="Q91">
        <v>1</v>
      </c>
      <c r="R91">
        <v>24</v>
      </c>
      <c r="S91">
        <v>0</v>
      </c>
      <c r="T91">
        <v>0</v>
      </c>
      <c r="V91" t="s">
        <v>225</v>
      </c>
    </row>
    <row r="92" spans="1:22">
      <c r="A92" s="81">
        <v>811573031328</v>
      </c>
      <c r="B92" t="s">
        <v>333</v>
      </c>
      <c r="C92">
        <v>346</v>
      </c>
      <c r="D92" t="s">
        <v>250</v>
      </c>
      <c r="E92" s="82">
        <v>45449</v>
      </c>
      <c r="F92">
        <v>0</v>
      </c>
      <c r="G92" t="s">
        <v>251</v>
      </c>
      <c r="H92">
        <v>0</v>
      </c>
      <c r="J92" t="s">
        <v>225</v>
      </c>
      <c r="K92" t="s">
        <v>225</v>
      </c>
      <c r="L92">
        <v>5</v>
      </c>
      <c r="M92">
        <v>5</v>
      </c>
      <c r="N92">
        <v>5</v>
      </c>
      <c r="O92">
        <v>5</v>
      </c>
      <c r="Q92">
        <v>0</v>
      </c>
      <c r="R92">
        <v>50</v>
      </c>
      <c r="S92">
        <v>6.0000000000000001E-3</v>
      </c>
      <c r="T92">
        <v>0</v>
      </c>
      <c r="V92" t="s">
        <v>225</v>
      </c>
    </row>
    <row r="93" spans="1:22">
      <c r="A93" s="81">
        <v>811573031335</v>
      </c>
      <c r="B93" t="s">
        <v>102</v>
      </c>
      <c r="C93" s="83">
        <v>95144</v>
      </c>
      <c r="D93" t="s">
        <v>250</v>
      </c>
      <c r="E93" s="82">
        <v>46104</v>
      </c>
      <c r="F93">
        <v>249</v>
      </c>
      <c r="G93" t="s">
        <v>310</v>
      </c>
      <c r="H93" s="83">
        <v>30792</v>
      </c>
      <c r="J93" t="s">
        <v>225</v>
      </c>
      <c r="K93" t="s">
        <v>225</v>
      </c>
      <c r="L93">
        <v>5</v>
      </c>
      <c r="M93">
        <v>5</v>
      </c>
      <c r="N93">
        <v>5</v>
      </c>
      <c r="O93">
        <v>5</v>
      </c>
      <c r="Q93">
        <v>6</v>
      </c>
      <c r="R93">
        <v>24</v>
      </c>
      <c r="S93">
        <v>0.01</v>
      </c>
      <c r="T93">
        <v>0</v>
      </c>
      <c r="V93" t="s">
        <v>225</v>
      </c>
    </row>
    <row r="94" spans="1:22">
      <c r="A94" s="81">
        <v>811573031342</v>
      </c>
      <c r="B94" t="s">
        <v>99</v>
      </c>
      <c r="C94" s="83">
        <v>71632</v>
      </c>
      <c r="D94" t="s">
        <v>250</v>
      </c>
      <c r="E94" s="82">
        <v>46104</v>
      </c>
      <c r="F94">
        <v>414</v>
      </c>
      <c r="G94" t="s">
        <v>310</v>
      </c>
      <c r="H94" s="83">
        <v>38448</v>
      </c>
      <c r="J94" t="s">
        <v>225</v>
      </c>
      <c r="K94" t="s">
        <v>225</v>
      </c>
      <c r="L94">
        <v>5</v>
      </c>
      <c r="M94">
        <v>5</v>
      </c>
      <c r="N94">
        <v>5</v>
      </c>
      <c r="O94">
        <v>5</v>
      </c>
      <c r="Q94">
        <v>1</v>
      </c>
      <c r="R94">
        <v>24</v>
      </c>
      <c r="S94">
        <v>4.4999999999999998E-2</v>
      </c>
      <c r="T94">
        <v>0</v>
      </c>
      <c r="V94" t="s">
        <v>225</v>
      </c>
    </row>
    <row r="95" spans="1:22">
      <c r="A95" s="81">
        <v>811573031359</v>
      </c>
      <c r="B95" t="s">
        <v>103</v>
      </c>
      <c r="C95" s="83">
        <v>33193</v>
      </c>
      <c r="D95" t="s">
        <v>250</v>
      </c>
      <c r="E95" s="82">
        <v>46063</v>
      </c>
      <c r="F95">
        <v>106</v>
      </c>
      <c r="G95" t="s">
        <v>310</v>
      </c>
      <c r="H95">
        <v>360</v>
      </c>
      <c r="J95" t="s">
        <v>225</v>
      </c>
      <c r="K95" t="s">
        <v>225</v>
      </c>
      <c r="L95">
        <v>5</v>
      </c>
      <c r="M95">
        <v>5</v>
      </c>
      <c r="N95">
        <v>5</v>
      </c>
      <c r="O95">
        <v>5</v>
      </c>
      <c r="Q95">
        <v>1</v>
      </c>
      <c r="R95">
        <v>24</v>
      </c>
      <c r="S95">
        <v>4.4999999999999998E-2</v>
      </c>
      <c r="T95">
        <v>0</v>
      </c>
      <c r="V95" t="s">
        <v>225</v>
      </c>
    </row>
    <row r="96" spans="1:22">
      <c r="A96" s="81">
        <v>811573031366</v>
      </c>
      <c r="B96" t="s">
        <v>104</v>
      </c>
      <c r="C96" s="83">
        <v>12735</v>
      </c>
      <c r="D96" t="s">
        <v>250</v>
      </c>
      <c r="E96" s="82">
        <v>46099</v>
      </c>
      <c r="F96">
        <v>80</v>
      </c>
      <c r="G96" t="s">
        <v>310</v>
      </c>
      <c r="H96" s="83">
        <v>19704</v>
      </c>
      <c r="J96" t="s">
        <v>225</v>
      </c>
      <c r="K96" t="s">
        <v>225</v>
      </c>
      <c r="L96">
        <v>5</v>
      </c>
      <c r="M96">
        <v>5</v>
      </c>
      <c r="N96">
        <v>5</v>
      </c>
      <c r="O96">
        <v>5</v>
      </c>
      <c r="Q96">
        <v>1</v>
      </c>
      <c r="R96">
        <v>24</v>
      </c>
      <c r="S96">
        <v>4.4999999999999998E-2</v>
      </c>
      <c r="T96">
        <v>0</v>
      </c>
      <c r="V96" t="s">
        <v>225</v>
      </c>
    </row>
    <row r="97" spans="1:22">
      <c r="A97" s="81">
        <v>811573031373</v>
      </c>
      <c r="B97" t="s">
        <v>334</v>
      </c>
      <c r="C97" s="83">
        <v>25302</v>
      </c>
      <c r="D97" t="s">
        <v>250</v>
      </c>
      <c r="E97" s="82">
        <v>46098</v>
      </c>
      <c r="F97">
        <v>10</v>
      </c>
      <c r="G97" t="s">
        <v>310</v>
      </c>
      <c r="H97">
        <v>36</v>
      </c>
      <c r="J97" t="s">
        <v>225</v>
      </c>
      <c r="K97" t="s">
        <v>225</v>
      </c>
      <c r="L97">
        <v>5</v>
      </c>
      <c r="M97">
        <v>5</v>
      </c>
      <c r="N97">
        <v>5</v>
      </c>
      <c r="O97">
        <v>5</v>
      </c>
      <c r="Q97">
        <v>12</v>
      </c>
      <c r="R97">
        <v>36</v>
      </c>
      <c r="S97">
        <v>7.0000000000000001E-3</v>
      </c>
      <c r="T97">
        <v>0</v>
      </c>
      <c r="V97" t="s">
        <v>225</v>
      </c>
    </row>
    <row r="98" spans="1:22">
      <c r="A98" s="81">
        <v>811573031380</v>
      </c>
      <c r="B98" t="s">
        <v>335</v>
      </c>
      <c r="C98" s="83">
        <v>1809</v>
      </c>
      <c r="D98" t="s">
        <v>250</v>
      </c>
      <c r="E98" s="82">
        <v>46030</v>
      </c>
      <c r="F98">
        <v>2</v>
      </c>
      <c r="G98" t="s">
        <v>310</v>
      </c>
      <c r="H98">
        <v>0</v>
      </c>
      <c r="J98" t="s">
        <v>225</v>
      </c>
      <c r="K98" t="s">
        <v>225</v>
      </c>
      <c r="L98">
        <v>5</v>
      </c>
      <c r="M98">
        <v>5</v>
      </c>
      <c r="N98">
        <v>5</v>
      </c>
      <c r="O98">
        <v>5</v>
      </c>
      <c r="Q98">
        <v>1</v>
      </c>
      <c r="R98">
        <v>12</v>
      </c>
      <c r="S98">
        <v>6.3E-2</v>
      </c>
      <c r="T98">
        <v>0</v>
      </c>
      <c r="V98" t="s">
        <v>225</v>
      </c>
    </row>
    <row r="99" spans="1:22">
      <c r="A99" s="81">
        <v>811573031397</v>
      </c>
      <c r="B99" t="s">
        <v>336</v>
      </c>
      <c r="C99" s="83">
        <v>5826</v>
      </c>
      <c r="D99" t="s">
        <v>250</v>
      </c>
      <c r="E99" s="82">
        <v>46078</v>
      </c>
      <c r="F99">
        <v>2</v>
      </c>
      <c r="G99" t="s">
        <v>310</v>
      </c>
      <c r="H99">
        <v>0</v>
      </c>
      <c r="J99" t="s">
        <v>225</v>
      </c>
      <c r="K99" t="s">
        <v>225</v>
      </c>
      <c r="L99">
        <v>5</v>
      </c>
      <c r="M99">
        <v>5</v>
      </c>
      <c r="N99">
        <v>5</v>
      </c>
      <c r="O99">
        <v>5</v>
      </c>
      <c r="Q99">
        <v>1</v>
      </c>
      <c r="R99">
        <v>12</v>
      </c>
      <c r="S99">
        <v>6.3E-2</v>
      </c>
      <c r="T99">
        <v>0</v>
      </c>
      <c r="V99" t="s">
        <v>225</v>
      </c>
    </row>
    <row r="100" spans="1:22">
      <c r="A100" s="81">
        <v>811573031403</v>
      </c>
      <c r="B100" t="s">
        <v>337</v>
      </c>
      <c r="C100">
        <v>0</v>
      </c>
      <c r="F100">
        <v>0</v>
      </c>
      <c r="G100" t="s">
        <v>280</v>
      </c>
      <c r="H100">
        <v>0</v>
      </c>
      <c r="J100" t="s">
        <v>225</v>
      </c>
      <c r="K100" t="s">
        <v>225</v>
      </c>
      <c r="L100">
        <v>5</v>
      </c>
      <c r="M100">
        <v>5</v>
      </c>
      <c r="N100">
        <v>5</v>
      </c>
      <c r="O100">
        <v>5</v>
      </c>
      <c r="Q100">
        <v>0</v>
      </c>
      <c r="R100">
        <v>50</v>
      </c>
      <c r="S100">
        <v>6.2775999999999998E-2</v>
      </c>
      <c r="T100">
        <v>0</v>
      </c>
      <c r="V100" t="s">
        <v>226</v>
      </c>
    </row>
    <row r="101" spans="1:22">
      <c r="A101" s="81">
        <v>811573031410</v>
      </c>
      <c r="B101" t="s">
        <v>338</v>
      </c>
      <c r="C101" s="83">
        <v>69835</v>
      </c>
      <c r="D101" t="s">
        <v>250</v>
      </c>
      <c r="E101" s="82">
        <v>46104</v>
      </c>
      <c r="F101">
        <v>104</v>
      </c>
      <c r="G101" t="s">
        <v>310</v>
      </c>
      <c r="H101" s="83">
        <v>54240</v>
      </c>
      <c r="J101" t="s">
        <v>225</v>
      </c>
      <c r="K101" t="s">
        <v>225</v>
      </c>
      <c r="L101">
        <v>5</v>
      </c>
      <c r="M101">
        <v>5</v>
      </c>
      <c r="N101">
        <v>5</v>
      </c>
      <c r="O101">
        <v>5</v>
      </c>
      <c r="Q101">
        <v>0</v>
      </c>
      <c r="R101">
        <v>48</v>
      </c>
      <c r="S101">
        <v>2.7E-2</v>
      </c>
      <c r="T101">
        <v>0</v>
      </c>
      <c r="V101" t="s">
        <v>225</v>
      </c>
    </row>
    <row r="102" spans="1:22">
      <c r="A102" s="81">
        <v>811573031427</v>
      </c>
      <c r="B102" t="s">
        <v>339</v>
      </c>
      <c r="C102" s="83">
        <v>1404</v>
      </c>
      <c r="D102" t="s">
        <v>250</v>
      </c>
      <c r="E102" s="82">
        <v>46097</v>
      </c>
      <c r="F102">
        <v>15</v>
      </c>
      <c r="G102" t="s">
        <v>251</v>
      </c>
      <c r="H102">
        <v>0</v>
      </c>
      <c r="J102" t="s">
        <v>225</v>
      </c>
      <c r="K102" t="s">
        <v>225</v>
      </c>
      <c r="L102">
        <v>5</v>
      </c>
      <c r="M102">
        <v>5</v>
      </c>
      <c r="N102">
        <v>5</v>
      </c>
      <c r="O102">
        <v>5</v>
      </c>
      <c r="Q102">
        <v>1</v>
      </c>
      <c r="R102">
        <v>24</v>
      </c>
      <c r="S102">
        <v>4.4999999999999998E-2</v>
      </c>
      <c r="T102">
        <v>0</v>
      </c>
      <c r="V102" t="s">
        <v>225</v>
      </c>
    </row>
    <row r="103" spans="1:22">
      <c r="A103" s="81">
        <v>811573031465</v>
      </c>
      <c r="B103" t="s">
        <v>340</v>
      </c>
      <c r="C103">
        <v>0</v>
      </c>
      <c r="F103">
        <v>0</v>
      </c>
      <c r="G103" t="s">
        <v>280</v>
      </c>
      <c r="H103">
        <v>0</v>
      </c>
      <c r="J103" t="s">
        <v>225</v>
      </c>
      <c r="K103" t="s">
        <v>225</v>
      </c>
      <c r="L103">
        <v>5</v>
      </c>
      <c r="M103">
        <v>5</v>
      </c>
      <c r="N103">
        <v>5</v>
      </c>
      <c r="O103">
        <v>5</v>
      </c>
      <c r="Q103">
        <v>1</v>
      </c>
      <c r="R103">
        <v>24</v>
      </c>
      <c r="S103">
        <v>4.8000000000000001E-2</v>
      </c>
      <c r="T103">
        <v>0</v>
      </c>
      <c r="V103" t="s">
        <v>226</v>
      </c>
    </row>
    <row r="104" spans="1:22">
      <c r="A104" s="81">
        <v>811573031489</v>
      </c>
      <c r="B104" t="s">
        <v>341</v>
      </c>
      <c r="C104" s="83">
        <v>1008</v>
      </c>
      <c r="D104" t="s">
        <v>250</v>
      </c>
      <c r="E104" s="82">
        <v>45933</v>
      </c>
      <c r="F104">
        <v>0</v>
      </c>
      <c r="G104" t="s">
        <v>280</v>
      </c>
      <c r="H104">
        <v>0</v>
      </c>
      <c r="J104" t="s">
        <v>225</v>
      </c>
      <c r="K104" t="s">
        <v>225</v>
      </c>
      <c r="L104">
        <v>5</v>
      </c>
      <c r="M104">
        <v>5</v>
      </c>
      <c r="N104">
        <v>5</v>
      </c>
      <c r="O104">
        <v>5</v>
      </c>
      <c r="Q104">
        <v>12</v>
      </c>
      <c r="R104">
        <v>36</v>
      </c>
      <c r="S104">
        <v>0.01</v>
      </c>
      <c r="T104">
        <v>0</v>
      </c>
      <c r="V104" t="s">
        <v>225</v>
      </c>
    </row>
    <row r="105" spans="1:22">
      <c r="A105" s="81">
        <v>811573031496</v>
      </c>
      <c r="B105" t="s">
        <v>342</v>
      </c>
      <c r="C105">
        <v>0</v>
      </c>
      <c r="D105" t="s">
        <v>250</v>
      </c>
      <c r="F105">
        <v>0</v>
      </c>
      <c r="G105" t="s">
        <v>280</v>
      </c>
      <c r="H105">
        <v>0</v>
      </c>
      <c r="J105" t="s">
        <v>225</v>
      </c>
      <c r="K105" t="s">
        <v>225</v>
      </c>
      <c r="L105">
        <v>5</v>
      </c>
      <c r="M105">
        <v>5</v>
      </c>
      <c r="N105">
        <v>5</v>
      </c>
      <c r="O105">
        <v>5</v>
      </c>
      <c r="Q105">
        <v>0</v>
      </c>
      <c r="R105">
        <v>48</v>
      </c>
      <c r="S105">
        <v>9.8000000000000004E-2</v>
      </c>
      <c r="T105">
        <v>0</v>
      </c>
      <c r="V105" t="s">
        <v>225</v>
      </c>
    </row>
    <row r="106" spans="1:22">
      <c r="A106" s="81" t="s">
        <v>343</v>
      </c>
      <c r="B106" t="s">
        <v>344</v>
      </c>
      <c r="C106">
        <v>0</v>
      </c>
      <c r="F106">
        <v>0</v>
      </c>
      <c r="G106" t="s">
        <v>276</v>
      </c>
      <c r="H106">
        <v>0</v>
      </c>
      <c r="J106" t="s">
        <v>225</v>
      </c>
      <c r="K106" t="s">
        <v>225</v>
      </c>
      <c r="Q106">
        <v>0</v>
      </c>
      <c r="R106">
        <v>0</v>
      </c>
      <c r="S106">
        <v>0</v>
      </c>
      <c r="T106">
        <v>0</v>
      </c>
      <c r="V106" t="s">
        <v>225</v>
      </c>
    </row>
    <row r="107" spans="1:22">
      <c r="A107" s="81">
        <v>8336</v>
      </c>
      <c r="C107">
        <v>0</v>
      </c>
      <c r="F107">
        <v>0</v>
      </c>
      <c r="H107">
        <v>0</v>
      </c>
      <c r="J107" t="s">
        <v>225</v>
      </c>
      <c r="K107" t="s">
        <v>225</v>
      </c>
      <c r="Q107">
        <v>0</v>
      </c>
      <c r="R107">
        <v>0</v>
      </c>
      <c r="S107">
        <v>0</v>
      </c>
      <c r="T107">
        <v>0</v>
      </c>
      <c r="V107" t="s">
        <v>225</v>
      </c>
    </row>
    <row r="108" spans="1:22">
      <c r="A108" s="81">
        <v>850003115009</v>
      </c>
      <c r="B108" t="s">
        <v>345</v>
      </c>
      <c r="C108">
        <v>796</v>
      </c>
      <c r="D108" t="s">
        <v>238</v>
      </c>
      <c r="E108" s="82">
        <v>45828</v>
      </c>
      <c r="F108">
        <v>0</v>
      </c>
      <c r="G108" t="s">
        <v>251</v>
      </c>
      <c r="H108">
        <v>0</v>
      </c>
      <c r="J108" t="s">
        <v>225</v>
      </c>
      <c r="K108" t="s">
        <v>225</v>
      </c>
      <c r="L108">
        <v>5</v>
      </c>
      <c r="M108">
        <v>5</v>
      </c>
      <c r="N108">
        <v>5</v>
      </c>
      <c r="O108">
        <v>5</v>
      </c>
      <c r="Q108">
        <v>1</v>
      </c>
      <c r="R108">
        <v>12</v>
      </c>
      <c r="S108">
        <v>0.01</v>
      </c>
      <c r="T108">
        <v>0</v>
      </c>
      <c r="V108" t="s">
        <v>225</v>
      </c>
    </row>
    <row r="109" spans="1:22">
      <c r="A109" s="81">
        <v>850003115016</v>
      </c>
      <c r="B109" t="s">
        <v>346</v>
      </c>
      <c r="C109" s="83">
        <v>7104</v>
      </c>
      <c r="D109" t="s">
        <v>238</v>
      </c>
      <c r="E109" s="82">
        <v>45833</v>
      </c>
      <c r="F109">
        <v>0</v>
      </c>
      <c r="G109" t="s">
        <v>251</v>
      </c>
      <c r="H109">
        <v>0</v>
      </c>
      <c r="J109" t="s">
        <v>225</v>
      </c>
      <c r="K109" t="s">
        <v>225</v>
      </c>
      <c r="L109">
        <v>5</v>
      </c>
      <c r="M109">
        <v>5</v>
      </c>
      <c r="N109">
        <v>5</v>
      </c>
      <c r="O109">
        <v>5</v>
      </c>
      <c r="Q109">
        <v>1</v>
      </c>
      <c r="R109">
        <v>12</v>
      </c>
      <c r="S109">
        <v>1.2999999999999999E-2</v>
      </c>
      <c r="T109">
        <v>0</v>
      </c>
      <c r="V109" t="s">
        <v>225</v>
      </c>
    </row>
    <row r="110" spans="1:22">
      <c r="A110" s="81">
        <v>850003115023</v>
      </c>
      <c r="B110" t="s">
        <v>347</v>
      </c>
      <c r="C110" s="83">
        <v>15309</v>
      </c>
      <c r="D110" t="s">
        <v>238</v>
      </c>
      <c r="E110" s="82">
        <v>45856</v>
      </c>
      <c r="F110">
        <v>0</v>
      </c>
      <c r="G110" t="s">
        <v>251</v>
      </c>
      <c r="H110">
        <v>0</v>
      </c>
      <c r="J110" t="s">
        <v>225</v>
      </c>
      <c r="K110" t="s">
        <v>225</v>
      </c>
      <c r="L110">
        <v>5</v>
      </c>
      <c r="M110">
        <v>5</v>
      </c>
      <c r="N110">
        <v>5</v>
      </c>
      <c r="O110">
        <v>5</v>
      </c>
      <c r="Q110">
        <v>1</v>
      </c>
      <c r="R110">
        <v>12</v>
      </c>
      <c r="S110">
        <v>1.2999999999999999E-2</v>
      </c>
      <c r="T110">
        <v>0</v>
      </c>
      <c r="V110" t="s">
        <v>225</v>
      </c>
    </row>
    <row r="111" spans="1:22">
      <c r="A111" s="81">
        <v>850003115030</v>
      </c>
      <c r="B111" t="s">
        <v>348</v>
      </c>
      <c r="C111">
        <v>39</v>
      </c>
      <c r="D111" t="s">
        <v>238</v>
      </c>
      <c r="E111" s="82">
        <v>45782</v>
      </c>
      <c r="F111">
        <v>0</v>
      </c>
      <c r="G111" t="s">
        <v>251</v>
      </c>
      <c r="H111">
        <v>0</v>
      </c>
      <c r="J111" t="s">
        <v>225</v>
      </c>
      <c r="K111" t="s">
        <v>225</v>
      </c>
      <c r="L111">
        <v>5</v>
      </c>
      <c r="M111">
        <v>5</v>
      </c>
      <c r="N111">
        <v>5</v>
      </c>
      <c r="O111">
        <v>5</v>
      </c>
      <c r="Q111">
        <v>1</v>
      </c>
      <c r="R111">
        <v>12</v>
      </c>
      <c r="S111">
        <v>0.02</v>
      </c>
      <c r="T111">
        <v>0</v>
      </c>
      <c r="V111" t="s">
        <v>225</v>
      </c>
    </row>
    <row r="112" spans="1:22">
      <c r="A112" s="81">
        <v>850003115047</v>
      </c>
      <c r="B112" t="s">
        <v>349</v>
      </c>
      <c r="C112">
        <v>0</v>
      </c>
      <c r="D112" t="s">
        <v>238</v>
      </c>
      <c r="E112" s="82">
        <v>45957</v>
      </c>
      <c r="F112">
        <v>0</v>
      </c>
      <c r="G112" t="s">
        <v>251</v>
      </c>
      <c r="H112">
        <v>0</v>
      </c>
      <c r="J112" t="s">
        <v>225</v>
      </c>
      <c r="K112" t="s">
        <v>225</v>
      </c>
      <c r="L112">
        <v>5</v>
      </c>
      <c r="M112">
        <v>5</v>
      </c>
      <c r="N112">
        <v>5</v>
      </c>
      <c r="O112">
        <v>5</v>
      </c>
      <c r="Q112">
        <v>1</v>
      </c>
      <c r="R112">
        <v>12</v>
      </c>
      <c r="S112">
        <v>0.02</v>
      </c>
      <c r="T112">
        <v>0</v>
      </c>
      <c r="V112" t="s">
        <v>225</v>
      </c>
    </row>
    <row r="113" spans="1:22">
      <c r="A113" s="81">
        <v>850003115054</v>
      </c>
      <c r="B113" t="s">
        <v>350</v>
      </c>
      <c r="C113" s="83">
        <v>3253</v>
      </c>
      <c r="D113" t="s">
        <v>238</v>
      </c>
      <c r="E113" s="82">
        <v>46066</v>
      </c>
      <c r="F113">
        <v>0</v>
      </c>
      <c r="G113" t="s">
        <v>310</v>
      </c>
      <c r="H113">
        <v>0</v>
      </c>
      <c r="J113" t="s">
        <v>225</v>
      </c>
      <c r="K113" t="s">
        <v>225</v>
      </c>
      <c r="L113">
        <v>5</v>
      </c>
      <c r="M113">
        <v>5</v>
      </c>
      <c r="N113">
        <v>5</v>
      </c>
      <c r="O113">
        <v>5</v>
      </c>
      <c r="Q113">
        <v>12</v>
      </c>
      <c r="R113">
        <v>36</v>
      </c>
      <c r="S113">
        <v>2E-3</v>
      </c>
      <c r="T113">
        <v>0</v>
      </c>
      <c r="V113" t="s">
        <v>225</v>
      </c>
    </row>
    <row r="114" spans="1:22">
      <c r="A114" s="81">
        <v>850003115061</v>
      </c>
      <c r="B114" t="s">
        <v>351</v>
      </c>
      <c r="C114" s="83">
        <v>1719</v>
      </c>
      <c r="D114" t="s">
        <v>238</v>
      </c>
      <c r="E114" s="82">
        <v>46037</v>
      </c>
      <c r="F114">
        <v>0</v>
      </c>
      <c r="G114" t="s">
        <v>310</v>
      </c>
      <c r="H114">
        <v>0</v>
      </c>
      <c r="J114" t="s">
        <v>225</v>
      </c>
      <c r="K114" t="s">
        <v>225</v>
      </c>
      <c r="L114">
        <v>5</v>
      </c>
      <c r="M114">
        <v>5</v>
      </c>
      <c r="N114">
        <v>5</v>
      </c>
      <c r="O114">
        <v>5</v>
      </c>
      <c r="Q114">
        <v>12</v>
      </c>
      <c r="R114">
        <v>36</v>
      </c>
      <c r="S114">
        <v>2E-3</v>
      </c>
      <c r="T114">
        <v>0</v>
      </c>
      <c r="V114" t="s">
        <v>225</v>
      </c>
    </row>
    <row r="115" spans="1:22">
      <c r="A115" s="81">
        <v>850003115078</v>
      </c>
      <c r="B115" t="s">
        <v>352</v>
      </c>
      <c r="C115" s="83">
        <v>24297</v>
      </c>
      <c r="D115" t="s">
        <v>238</v>
      </c>
      <c r="E115" s="82">
        <v>46057</v>
      </c>
      <c r="F115">
        <v>3</v>
      </c>
      <c r="G115" t="s">
        <v>310</v>
      </c>
      <c r="H115">
        <v>0</v>
      </c>
      <c r="J115" t="s">
        <v>225</v>
      </c>
      <c r="K115" t="s">
        <v>225</v>
      </c>
      <c r="L115">
        <v>5</v>
      </c>
      <c r="M115">
        <v>5</v>
      </c>
      <c r="N115">
        <v>5</v>
      </c>
      <c r="O115">
        <v>5</v>
      </c>
      <c r="Q115">
        <v>12</v>
      </c>
      <c r="R115">
        <v>36</v>
      </c>
      <c r="S115">
        <v>0.01</v>
      </c>
      <c r="T115">
        <v>0</v>
      </c>
      <c r="V115" t="s">
        <v>225</v>
      </c>
    </row>
    <row r="116" spans="1:22">
      <c r="A116" s="81">
        <v>850003115085</v>
      </c>
      <c r="B116" t="s">
        <v>353</v>
      </c>
      <c r="C116" s="83">
        <v>5919</v>
      </c>
      <c r="D116" t="s">
        <v>238</v>
      </c>
      <c r="E116" s="82">
        <v>46022</v>
      </c>
      <c r="F116">
        <v>0</v>
      </c>
      <c r="G116" t="s">
        <v>259</v>
      </c>
      <c r="H116">
        <v>0</v>
      </c>
      <c r="J116" t="s">
        <v>225</v>
      </c>
      <c r="K116" t="s">
        <v>225</v>
      </c>
      <c r="L116">
        <v>5</v>
      </c>
      <c r="M116">
        <v>5</v>
      </c>
      <c r="N116">
        <v>5</v>
      </c>
      <c r="O116">
        <v>5</v>
      </c>
      <c r="Q116">
        <v>12</v>
      </c>
      <c r="R116">
        <v>36</v>
      </c>
      <c r="S116">
        <v>0.01</v>
      </c>
      <c r="T116">
        <v>0</v>
      </c>
      <c r="V116" t="s">
        <v>225</v>
      </c>
    </row>
    <row r="117" spans="1:22">
      <c r="A117" s="81">
        <v>850003115092</v>
      </c>
      <c r="B117" t="s">
        <v>354</v>
      </c>
      <c r="C117" s="83">
        <v>2230</v>
      </c>
      <c r="D117" t="s">
        <v>238</v>
      </c>
      <c r="E117" s="82">
        <v>46022</v>
      </c>
      <c r="F117">
        <v>0</v>
      </c>
      <c r="G117" t="s">
        <v>259</v>
      </c>
      <c r="H117">
        <v>0</v>
      </c>
      <c r="J117" t="s">
        <v>225</v>
      </c>
      <c r="K117" t="s">
        <v>225</v>
      </c>
      <c r="L117">
        <v>5</v>
      </c>
      <c r="M117">
        <v>5</v>
      </c>
      <c r="N117">
        <v>5</v>
      </c>
      <c r="O117">
        <v>5</v>
      </c>
      <c r="Q117">
        <v>12</v>
      </c>
      <c r="R117">
        <v>36</v>
      </c>
      <c r="S117">
        <v>0.01</v>
      </c>
      <c r="T117">
        <v>0</v>
      </c>
      <c r="V117" t="s">
        <v>225</v>
      </c>
    </row>
    <row r="118" spans="1:22">
      <c r="A118" s="81">
        <v>850003115108</v>
      </c>
      <c r="B118" t="s">
        <v>355</v>
      </c>
      <c r="C118">
        <v>343</v>
      </c>
      <c r="D118" t="s">
        <v>238</v>
      </c>
      <c r="E118" s="82">
        <v>45782</v>
      </c>
      <c r="F118">
        <v>0</v>
      </c>
      <c r="G118" t="s">
        <v>259</v>
      </c>
      <c r="H118" s="83">
        <v>1008</v>
      </c>
      <c r="J118" t="s">
        <v>225</v>
      </c>
      <c r="K118" t="s">
        <v>225</v>
      </c>
      <c r="L118">
        <v>5</v>
      </c>
      <c r="M118">
        <v>5</v>
      </c>
      <c r="N118">
        <v>5</v>
      </c>
      <c r="O118">
        <v>5</v>
      </c>
      <c r="Q118">
        <v>12</v>
      </c>
      <c r="R118">
        <v>36</v>
      </c>
      <c r="S118">
        <v>0.01</v>
      </c>
      <c r="T118">
        <v>0</v>
      </c>
      <c r="V118" t="s">
        <v>225</v>
      </c>
    </row>
    <row r="119" spans="1:22">
      <c r="A119" s="81">
        <v>850003115115</v>
      </c>
      <c r="B119" t="s">
        <v>356</v>
      </c>
      <c r="C119" s="83">
        <v>2541</v>
      </c>
      <c r="D119" t="s">
        <v>238</v>
      </c>
      <c r="E119" s="82">
        <v>44818</v>
      </c>
      <c r="F119">
        <v>0</v>
      </c>
      <c r="G119" t="s">
        <v>259</v>
      </c>
      <c r="H119">
        <v>0</v>
      </c>
      <c r="J119" t="s">
        <v>225</v>
      </c>
      <c r="K119" t="s">
        <v>225</v>
      </c>
      <c r="L119">
        <v>5</v>
      </c>
      <c r="M119">
        <v>5</v>
      </c>
      <c r="N119">
        <v>5</v>
      </c>
      <c r="O119">
        <v>5</v>
      </c>
      <c r="Q119">
        <v>12</v>
      </c>
      <c r="R119">
        <v>36</v>
      </c>
      <c r="S119">
        <v>0.02</v>
      </c>
      <c r="T119">
        <v>0</v>
      </c>
      <c r="V119" t="s">
        <v>225</v>
      </c>
    </row>
    <row r="120" spans="1:22">
      <c r="A120" s="81">
        <v>850003115122</v>
      </c>
      <c r="B120" t="s">
        <v>357</v>
      </c>
      <c r="C120" s="83">
        <v>1784</v>
      </c>
      <c r="D120" t="s">
        <v>238</v>
      </c>
      <c r="E120" s="82">
        <v>45729</v>
      </c>
      <c r="F120">
        <v>0</v>
      </c>
      <c r="G120" t="s">
        <v>259</v>
      </c>
      <c r="H120">
        <v>0</v>
      </c>
      <c r="J120" t="s">
        <v>225</v>
      </c>
      <c r="K120" t="s">
        <v>225</v>
      </c>
      <c r="L120">
        <v>5</v>
      </c>
      <c r="M120">
        <v>5</v>
      </c>
      <c r="N120">
        <v>5</v>
      </c>
      <c r="O120">
        <v>5</v>
      </c>
      <c r="Q120">
        <v>12</v>
      </c>
      <c r="R120">
        <v>36</v>
      </c>
      <c r="S120">
        <v>0.02</v>
      </c>
      <c r="T120">
        <v>0</v>
      </c>
      <c r="V120" t="s">
        <v>225</v>
      </c>
    </row>
    <row r="121" spans="1:22">
      <c r="A121" s="81">
        <v>850003115139</v>
      </c>
      <c r="B121" t="s">
        <v>358</v>
      </c>
      <c r="C121" s="83">
        <v>5314</v>
      </c>
      <c r="D121" t="s">
        <v>238</v>
      </c>
      <c r="E121" s="82">
        <v>46073</v>
      </c>
      <c r="F121">
        <v>792</v>
      </c>
      <c r="G121" t="s">
        <v>310</v>
      </c>
      <c r="H121">
        <v>0</v>
      </c>
      <c r="J121" t="s">
        <v>225</v>
      </c>
      <c r="K121" t="s">
        <v>225</v>
      </c>
      <c r="L121">
        <v>5</v>
      </c>
      <c r="M121">
        <v>5</v>
      </c>
      <c r="N121">
        <v>5</v>
      </c>
      <c r="O121">
        <v>5</v>
      </c>
      <c r="Q121">
        <v>1</v>
      </c>
      <c r="R121">
        <v>12</v>
      </c>
      <c r="S121">
        <v>0.03</v>
      </c>
      <c r="T121">
        <v>0</v>
      </c>
      <c r="V121" t="s">
        <v>225</v>
      </c>
    </row>
    <row r="122" spans="1:22">
      <c r="A122" s="81">
        <v>850003115146</v>
      </c>
      <c r="B122" t="s">
        <v>359</v>
      </c>
      <c r="C122" s="83">
        <v>2939</v>
      </c>
      <c r="D122" t="s">
        <v>238</v>
      </c>
      <c r="E122" s="82">
        <v>46104</v>
      </c>
      <c r="F122">
        <v>2</v>
      </c>
      <c r="G122" t="s">
        <v>251</v>
      </c>
      <c r="H122">
        <v>0</v>
      </c>
      <c r="J122" t="s">
        <v>225</v>
      </c>
      <c r="K122" t="s">
        <v>225</v>
      </c>
      <c r="L122">
        <v>5</v>
      </c>
      <c r="M122">
        <v>5</v>
      </c>
      <c r="N122">
        <v>5</v>
      </c>
      <c r="O122">
        <v>5</v>
      </c>
      <c r="Q122">
        <v>0</v>
      </c>
      <c r="R122">
        <v>500</v>
      </c>
      <c r="S122">
        <v>1.9E-2</v>
      </c>
      <c r="T122">
        <v>0</v>
      </c>
      <c r="V122" t="s">
        <v>225</v>
      </c>
    </row>
    <row r="123" spans="1:22">
      <c r="A123" s="81">
        <v>850003115153</v>
      </c>
      <c r="B123" t="s">
        <v>360</v>
      </c>
      <c r="C123" s="83">
        <v>1289</v>
      </c>
      <c r="D123" t="s">
        <v>238</v>
      </c>
      <c r="E123" s="82">
        <v>44888</v>
      </c>
      <c r="F123">
        <v>0</v>
      </c>
      <c r="G123" t="s">
        <v>251</v>
      </c>
      <c r="H123">
        <v>0</v>
      </c>
      <c r="J123" t="s">
        <v>225</v>
      </c>
      <c r="K123" t="s">
        <v>225</v>
      </c>
      <c r="L123">
        <v>5</v>
      </c>
      <c r="M123">
        <v>5</v>
      </c>
      <c r="N123">
        <v>5</v>
      </c>
      <c r="O123">
        <v>5</v>
      </c>
      <c r="Q123">
        <v>12</v>
      </c>
      <c r="R123">
        <v>36</v>
      </c>
      <c r="S123">
        <v>2E-3</v>
      </c>
      <c r="T123">
        <v>0</v>
      </c>
      <c r="V123" t="s">
        <v>225</v>
      </c>
    </row>
    <row r="124" spans="1:22">
      <c r="A124" s="81" t="s">
        <v>361</v>
      </c>
      <c r="B124" t="s">
        <v>362</v>
      </c>
      <c r="C124">
        <v>0</v>
      </c>
      <c r="F124">
        <v>0</v>
      </c>
      <c r="G124" t="s">
        <v>276</v>
      </c>
      <c r="H124">
        <v>0</v>
      </c>
      <c r="J124" t="s">
        <v>225</v>
      </c>
      <c r="K124" t="s">
        <v>225</v>
      </c>
      <c r="L124">
        <v>5</v>
      </c>
      <c r="M124">
        <v>5</v>
      </c>
      <c r="N124">
        <v>5</v>
      </c>
      <c r="O124">
        <v>5</v>
      </c>
      <c r="Q124">
        <v>12</v>
      </c>
      <c r="R124">
        <v>36</v>
      </c>
      <c r="S124">
        <v>12.872</v>
      </c>
      <c r="T124">
        <v>0</v>
      </c>
      <c r="V124" t="s">
        <v>225</v>
      </c>
    </row>
    <row r="125" spans="1:22">
      <c r="A125" s="81">
        <v>850003115184</v>
      </c>
      <c r="B125" t="s">
        <v>363</v>
      </c>
      <c r="C125" s="83">
        <v>1868</v>
      </c>
      <c r="D125" t="s">
        <v>238</v>
      </c>
      <c r="E125" s="82">
        <v>46022</v>
      </c>
      <c r="F125">
        <v>0</v>
      </c>
      <c r="G125" t="s">
        <v>251</v>
      </c>
      <c r="H125">
        <v>0</v>
      </c>
      <c r="J125" t="s">
        <v>225</v>
      </c>
      <c r="K125" t="s">
        <v>225</v>
      </c>
      <c r="L125">
        <v>5</v>
      </c>
      <c r="M125">
        <v>5</v>
      </c>
      <c r="N125">
        <v>5</v>
      </c>
      <c r="O125">
        <v>5</v>
      </c>
      <c r="Q125">
        <v>12</v>
      </c>
      <c r="R125">
        <v>36</v>
      </c>
      <c r="S125">
        <v>0.02</v>
      </c>
      <c r="T125">
        <v>0</v>
      </c>
      <c r="V125" t="s">
        <v>225</v>
      </c>
    </row>
    <row r="126" spans="1:22">
      <c r="A126" s="81">
        <v>850003115191</v>
      </c>
      <c r="B126" t="s">
        <v>364</v>
      </c>
      <c r="C126" s="83">
        <v>1821</v>
      </c>
      <c r="D126" t="s">
        <v>238</v>
      </c>
      <c r="E126" s="82">
        <v>45167</v>
      </c>
      <c r="F126">
        <v>0</v>
      </c>
      <c r="G126" t="s">
        <v>251</v>
      </c>
      <c r="H126">
        <v>0</v>
      </c>
      <c r="J126" t="s">
        <v>225</v>
      </c>
      <c r="K126" t="s">
        <v>225</v>
      </c>
      <c r="L126">
        <v>5</v>
      </c>
      <c r="M126">
        <v>5</v>
      </c>
      <c r="N126">
        <v>5</v>
      </c>
      <c r="O126">
        <v>5</v>
      </c>
      <c r="Q126">
        <v>12</v>
      </c>
      <c r="R126">
        <v>36</v>
      </c>
      <c r="S126">
        <v>0.02</v>
      </c>
      <c r="T126">
        <v>0</v>
      </c>
      <c r="V126" t="s">
        <v>225</v>
      </c>
    </row>
    <row r="127" spans="1:22">
      <c r="A127" s="81">
        <v>850003115269</v>
      </c>
      <c r="B127" t="s">
        <v>365</v>
      </c>
      <c r="C127">
        <v>12</v>
      </c>
      <c r="D127" t="s">
        <v>238</v>
      </c>
      <c r="E127" s="82">
        <v>45968</v>
      </c>
      <c r="F127">
        <v>0</v>
      </c>
      <c r="G127" t="s">
        <v>251</v>
      </c>
      <c r="H127">
        <v>0</v>
      </c>
      <c r="J127" t="s">
        <v>225</v>
      </c>
      <c r="K127" t="s">
        <v>225</v>
      </c>
      <c r="L127">
        <v>5</v>
      </c>
      <c r="M127">
        <v>5</v>
      </c>
      <c r="N127">
        <v>5</v>
      </c>
      <c r="O127">
        <v>5</v>
      </c>
      <c r="Q127">
        <v>3</v>
      </c>
      <c r="R127">
        <v>12</v>
      </c>
      <c r="S127">
        <v>2.5999999999999999E-2</v>
      </c>
      <c r="T127">
        <v>0</v>
      </c>
      <c r="V127" t="s">
        <v>225</v>
      </c>
    </row>
    <row r="128" spans="1:22">
      <c r="A128" s="81" t="s">
        <v>366</v>
      </c>
      <c r="B128" t="s">
        <v>367</v>
      </c>
      <c r="C128">
        <v>0</v>
      </c>
      <c r="D128" t="s">
        <v>368</v>
      </c>
      <c r="E128" s="82">
        <v>45098</v>
      </c>
      <c r="F128">
        <v>0</v>
      </c>
      <c r="G128" t="s">
        <v>276</v>
      </c>
      <c r="H128">
        <v>0</v>
      </c>
      <c r="J128" t="s">
        <v>225</v>
      </c>
      <c r="K128" t="s">
        <v>225</v>
      </c>
      <c r="L128">
        <v>5</v>
      </c>
      <c r="M128">
        <v>5</v>
      </c>
      <c r="N128">
        <v>5</v>
      </c>
      <c r="O128">
        <v>5</v>
      </c>
      <c r="Q128">
        <v>1</v>
      </c>
      <c r="R128">
        <v>3</v>
      </c>
      <c r="S128">
        <v>6.0000000000000001E-3</v>
      </c>
      <c r="T128">
        <v>0</v>
      </c>
      <c r="V128" t="s">
        <v>225</v>
      </c>
    </row>
    <row r="129" spans="1:22">
      <c r="A129" s="81">
        <v>850003115283</v>
      </c>
      <c r="B129" t="s">
        <v>369</v>
      </c>
      <c r="C129" s="83">
        <v>9417</v>
      </c>
      <c r="D129" t="s">
        <v>238</v>
      </c>
      <c r="E129" s="82">
        <v>46070</v>
      </c>
      <c r="F129">
        <v>0</v>
      </c>
      <c r="G129" t="s">
        <v>251</v>
      </c>
      <c r="H129">
        <v>0</v>
      </c>
      <c r="J129" t="s">
        <v>225</v>
      </c>
      <c r="K129" t="s">
        <v>225</v>
      </c>
      <c r="L129">
        <v>5</v>
      </c>
      <c r="M129">
        <v>5</v>
      </c>
      <c r="N129">
        <v>5</v>
      </c>
      <c r="O129">
        <v>5</v>
      </c>
      <c r="Q129">
        <v>1</v>
      </c>
      <c r="R129">
        <v>12</v>
      </c>
      <c r="S129">
        <v>1.2999999999999999E-2</v>
      </c>
      <c r="T129">
        <v>0</v>
      </c>
      <c r="V129" t="s">
        <v>225</v>
      </c>
    </row>
    <row r="130" spans="1:22">
      <c r="A130" s="81">
        <v>850003115320</v>
      </c>
      <c r="B130" t="s">
        <v>370</v>
      </c>
      <c r="C130" s="83">
        <v>1328</v>
      </c>
      <c r="D130" t="s">
        <v>238</v>
      </c>
      <c r="E130" s="82">
        <v>45958</v>
      </c>
      <c r="F130">
        <v>1</v>
      </c>
      <c r="G130" t="s">
        <v>251</v>
      </c>
      <c r="H130">
        <v>0</v>
      </c>
      <c r="J130" t="s">
        <v>225</v>
      </c>
      <c r="K130" t="s">
        <v>225</v>
      </c>
      <c r="L130">
        <v>5</v>
      </c>
      <c r="M130">
        <v>5</v>
      </c>
      <c r="N130">
        <v>5</v>
      </c>
      <c r="O130">
        <v>5</v>
      </c>
      <c r="Q130">
        <v>1</v>
      </c>
      <c r="R130">
        <v>12</v>
      </c>
      <c r="S130">
        <v>2.5000000000000001E-2</v>
      </c>
      <c r="T130">
        <v>0</v>
      </c>
      <c r="V130" t="s">
        <v>225</v>
      </c>
    </row>
    <row r="131" spans="1:22">
      <c r="A131" s="81">
        <v>850003115337</v>
      </c>
      <c r="B131" t="s">
        <v>371</v>
      </c>
      <c r="C131" s="83">
        <v>4668</v>
      </c>
      <c r="D131" t="s">
        <v>238</v>
      </c>
      <c r="E131" s="82">
        <v>46022</v>
      </c>
      <c r="F131" s="83">
        <v>4668</v>
      </c>
      <c r="G131" t="s">
        <v>251</v>
      </c>
      <c r="H131">
        <v>0</v>
      </c>
      <c r="J131" t="s">
        <v>225</v>
      </c>
      <c r="K131" t="s">
        <v>225</v>
      </c>
      <c r="L131">
        <v>5</v>
      </c>
      <c r="M131">
        <v>5</v>
      </c>
      <c r="N131">
        <v>5</v>
      </c>
      <c r="O131">
        <v>5</v>
      </c>
      <c r="Q131">
        <v>3</v>
      </c>
      <c r="R131">
        <v>12</v>
      </c>
      <c r="S131">
        <v>4.3999999999999997E-2</v>
      </c>
      <c r="T131">
        <v>0</v>
      </c>
      <c r="V131" t="s">
        <v>225</v>
      </c>
    </row>
    <row r="132" spans="1:22">
      <c r="A132" s="81">
        <v>850003115375</v>
      </c>
      <c r="B132" t="s">
        <v>372</v>
      </c>
      <c r="C132" s="83">
        <v>5660</v>
      </c>
      <c r="D132" t="s">
        <v>238</v>
      </c>
      <c r="E132" s="82">
        <v>46022</v>
      </c>
      <c r="F132">
        <v>0</v>
      </c>
      <c r="G132" t="s">
        <v>251</v>
      </c>
      <c r="H132">
        <v>0</v>
      </c>
      <c r="J132" t="s">
        <v>225</v>
      </c>
      <c r="K132" t="s">
        <v>225</v>
      </c>
      <c r="L132">
        <v>5</v>
      </c>
      <c r="M132">
        <v>5</v>
      </c>
      <c r="N132">
        <v>5</v>
      </c>
      <c r="O132">
        <v>5</v>
      </c>
      <c r="Q132">
        <v>1</v>
      </c>
      <c r="R132">
        <v>12</v>
      </c>
      <c r="S132">
        <v>0.01</v>
      </c>
      <c r="T132">
        <v>0</v>
      </c>
      <c r="V132" t="s">
        <v>225</v>
      </c>
    </row>
    <row r="133" spans="1:22">
      <c r="A133" s="81" t="s">
        <v>373</v>
      </c>
      <c r="B133" t="s">
        <v>374</v>
      </c>
      <c r="C133">
        <v>0</v>
      </c>
      <c r="F133">
        <v>0</v>
      </c>
      <c r="G133" t="s">
        <v>276</v>
      </c>
      <c r="H133">
        <v>0</v>
      </c>
      <c r="J133" t="s">
        <v>225</v>
      </c>
      <c r="K133" t="s">
        <v>225</v>
      </c>
      <c r="L133">
        <v>5</v>
      </c>
      <c r="M133">
        <v>5</v>
      </c>
      <c r="N133">
        <v>5</v>
      </c>
      <c r="O133">
        <v>5</v>
      </c>
      <c r="Q133">
        <v>0</v>
      </c>
      <c r="R133">
        <v>12</v>
      </c>
      <c r="S133">
        <v>2.5000000000000001E-2</v>
      </c>
      <c r="T133">
        <v>0</v>
      </c>
      <c r="V133" t="s">
        <v>225</v>
      </c>
    </row>
    <row r="134" spans="1:22">
      <c r="A134" s="81">
        <v>850003115382</v>
      </c>
      <c r="B134" t="s">
        <v>375</v>
      </c>
      <c r="C134">
        <v>0</v>
      </c>
      <c r="E134" s="82">
        <v>45579</v>
      </c>
      <c r="F134">
        <v>0</v>
      </c>
      <c r="G134" t="s">
        <v>251</v>
      </c>
      <c r="H134">
        <v>0</v>
      </c>
      <c r="J134" t="s">
        <v>225</v>
      </c>
      <c r="K134" t="s">
        <v>225</v>
      </c>
      <c r="L134">
        <v>5</v>
      </c>
      <c r="M134">
        <v>5</v>
      </c>
      <c r="N134">
        <v>5</v>
      </c>
      <c r="O134">
        <v>5</v>
      </c>
      <c r="Q134">
        <v>1</v>
      </c>
      <c r="R134">
        <v>12</v>
      </c>
      <c r="S134">
        <v>0.01</v>
      </c>
      <c r="T134">
        <v>0</v>
      </c>
      <c r="V134" t="s">
        <v>225</v>
      </c>
    </row>
    <row r="135" spans="1:22">
      <c r="A135" s="81">
        <v>850003115399</v>
      </c>
      <c r="B135" t="s">
        <v>376</v>
      </c>
      <c r="C135">
        <v>21</v>
      </c>
      <c r="D135" t="s">
        <v>238</v>
      </c>
      <c r="E135" s="82">
        <v>45883</v>
      </c>
      <c r="F135">
        <v>0</v>
      </c>
      <c r="G135" t="s">
        <v>251</v>
      </c>
      <c r="H135">
        <v>0</v>
      </c>
      <c r="J135" t="s">
        <v>225</v>
      </c>
      <c r="K135" t="s">
        <v>225</v>
      </c>
      <c r="L135">
        <v>5</v>
      </c>
      <c r="M135">
        <v>5</v>
      </c>
      <c r="N135">
        <v>5</v>
      </c>
      <c r="O135">
        <v>5</v>
      </c>
      <c r="Q135">
        <v>1</v>
      </c>
      <c r="R135">
        <v>12</v>
      </c>
      <c r="S135">
        <v>0.02</v>
      </c>
      <c r="T135">
        <v>0</v>
      </c>
      <c r="V135" t="s">
        <v>225</v>
      </c>
    </row>
    <row r="136" spans="1:22">
      <c r="A136" s="81">
        <v>850003115412</v>
      </c>
      <c r="B136" t="s">
        <v>377</v>
      </c>
      <c r="C136" s="83">
        <v>2733</v>
      </c>
      <c r="D136" t="s">
        <v>238</v>
      </c>
      <c r="E136" s="82">
        <v>45847</v>
      </c>
      <c r="F136">
        <v>0</v>
      </c>
      <c r="G136" t="s">
        <v>251</v>
      </c>
      <c r="H136">
        <v>0</v>
      </c>
      <c r="J136" t="s">
        <v>225</v>
      </c>
      <c r="K136" t="s">
        <v>225</v>
      </c>
      <c r="L136">
        <v>5</v>
      </c>
      <c r="M136">
        <v>5</v>
      </c>
      <c r="N136">
        <v>5</v>
      </c>
      <c r="O136">
        <v>5</v>
      </c>
      <c r="Q136">
        <v>12</v>
      </c>
      <c r="R136">
        <v>36</v>
      </c>
      <c r="S136">
        <v>0.06</v>
      </c>
      <c r="T136">
        <v>0</v>
      </c>
      <c r="V136" t="s">
        <v>225</v>
      </c>
    </row>
    <row r="137" spans="1:22">
      <c r="A137" s="81">
        <v>850003115436</v>
      </c>
      <c r="B137" t="s">
        <v>378</v>
      </c>
      <c r="C137" s="83">
        <v>16657</v>
      </c>
      <c r="D137" t="s">
        <v>238</v>
      </c>
      <c r="E137" s="82">
        <v>46022</v>
      </c>
      <c r="F137">
        <v>240</v>
      </c>
      <c r="G137" t="s">
        <v>251</v>
      </c>
      <c r="H137">
        <v>0</v>
      </c>
      <c r="J137" t="s">
        <v>225</v>
      </c>
      <c r="K137" t="s">
        <v>225</v>
      </c>
      <c r="L137">
        <v>5</v>
      </c>
      <c r="M137">
        <v>5</v>
      </c>
      <c r="N137">
        <v>5</v>
      </c>
      <c r="O137">
        <v>5</v>
      </c>
      <c r="Q137">
        <v>1</v>
      </c>
      <c r="R137">
        <v>12</v>
      </c>
      <c r="S137">
        <v>0.01</v>
      </c>
      <c r="T137">
        <v>0</v>
      </c>
      <c r="V137" t="s">
        <v>225</v>
      </c>
    </row>
    <row r="138" spans="1:22">
      <c r="A138" s="81">
        <v>850003115542</v>
      </c>
      <c r="B138" t="s">
        <v>379</v>
      </c>
      <c r="C138" s="83">
        <v>18908</v>
      </c>
      <c r="D138" t="s">
        <v>238</v>
      </c>
      <c r="E138" s="82">
        <v>46022</v>
      </c>
      <c r="F138">
        <v>0</v>
      </c>
      <c r="G138" t="s">
        <v>251</v>
      </c>
      <c r="H138">
        <v>0</v>
      </c>
      <c r="J138" t="s">
        <v>225</v>
      </c>
      <c r="K138" t="s">
        <v>225</v>
      </c>
      <c r="L138">
        <v>5</v>
      </c>
      <c r="M138">
        <v>5</v>
      </c>
      <c r="N138">
        <v>5</v>
      </c>
      <c r="O138">
        <v>5</v>
      </c>
      <c r="Q138">
        <v>1</v>
      </c>
      <c r="R138">
        <v>48</v>
      </c>
      <c r="S138">
        <v>2.1999999999999999E-2</v>
      </c>
      <c r="T138">
        <v>0</v>
      </c>
      <c r="V138" t="s">
        <v>225</v>
      </c>
    </row>
    <row r="139" spans="1:22">
      <c r="A139" s="81">
        <v>850003115573</v>
      </c>
      <c r="B139" t="s">
        <v>380</v>
      </c>
      <c r="C139" s="83">
        <v>16709</v>
      </c>
      <c r="D139" t="s">
        <v>238</v>
      </c>
      <c r="E139" s="82">
        <v>45828</v>
      </c>
      <c r="F139">
        <v>0</v>
      </c>
      <c r="G139" t="s">
        <v>310</v>
      </c>
      <c r="H139">
        <v>0</v>
      </c>
      <c r="J139" t="s">
        <v>225</v>
      </c>
      <c r="K139" t="s">
        <v>225</v>
      </c>
      <c r="L139">
        <v>5</v>
      </c>
      <c r="M139">
        <v>5</v>
      </c>
      <c r="N139">
        <v>5</v>
      </c>
      <c r="O139">
        <v>5</v>
      </c>
      <c r="Q139">
        <v>12</v>
      </c>
      <c r="R139">
        <v>36</v>
      </c>
      <c r="S139">
        <v>0.01</v>
      </c>
      <c r="T139">
        <v>0</v>
      </c>
      <c r="V139" t="s">
        <v>225</v>
      </c>
    </row>
    <row r="140" spans="1:22">
      <c r="A140" s="81">
        <v>850003115597</v>
      </c>
      <c r="B140" t="s">
        <v>381</v>
      </c>
      <c r="C140" s="83">
        <v>8430</v>
      </c>
      <c r="D140" t="s">
        <v>238</v>
      </c>
      <c r="E140" s="82">
        <v>46022</v>
      </c>
      <c r="F140">
        <v>0</v>
      </c>
      <c r="G140" t="s">
        <v>310</v>
      </c>
      <c r="H140">
        <v>0</v>
      </c>
      <c r="J140" t="s">
        <v>225</v>
      </c>
      <c r="K140" t="s">
        <v>225</v>
      </c>
      <c r="L140">
        <v>5</v>
      </c>
      <c r="M140">
        <v>5</v>
      </c>
      <c r="N140">
        <v>5</v>
      </c>
      <c r="O140">
        <v>5</v>
      </c>
      <c r="Q140">
        <v>0</v>
      </c>
      <c r="R140">
        <v>12</v>
      </c>
      <c r="S140">
        <v>0.02</v>
      </c>
      <c r="T140">
        <v>0</v>
      </c>
      <c r="V140" t="s">
        <v>225</v>
      </c>
    </row>
    <row r="141" spans="1:22">
      <c r="A141" s="81">
        <v>850003115627</v>
      </c>
      <c r="B141" t="s">
        <v>382</v>
      </c>
      <c r="C141" s="83">
        <v>1994</v>
      </c>
      <c r="D141" t="s">
        <v>238</v>
      </c>
      <c r="E141" s="82">
        <v>45846</v>
      </c>
      <c r="F141">
        <v>36</v>
      </c>
      <c r="G141" t="s">
        <v>251</v>
      </c>
      <c r="H141">
        <v>0</v>
      </c>
      <c r="J141" t="s">
        <v>225</v>
      </c>
      <c r="K141" t="s">
        <v>225</v>
      </c>
      <c r="L141">
        <v>5</v>
      </c>
      <c r="M141">
        <v>5</v>
      </c>
      <c r="N141">
        <v>5</v>
      </c>
      <c r="O141">
        <v>5</v>
      </c>
      <c r="Q141">
        <v>0</v>
      </c>
      <c r="R141">
        <v>12</v>
      </c>
      <c r="S141">
        <v>0.01</v>
      </c>
      <c r="T141">
        <v>0</v>
      </c>
      <c r="V141" t="s">
        <v>225</v>
      </c>
    </row>
    <row r="142" spans="1:22">
      <c r="A142" s="81" t="s">
        <v>383</v>
      </c>
      <c r="B142" t="s">
        <v>384</v>
      </c>
      <c r="C142">
        <v>0</v>
      </c>
      <c r="E142" s="82">
        <v>44385</v>
      </c>
      <c r="F142">
        <v>0</v>
      </c>
      <c r="G142" t="s">
        <v>276</v>
      </c>
      <c r="H142">
        <v>0</v>
      </c>
      <c r="J142" t="s">
        <v>225</v>
      </c>
      <c r="K142" t="s">
        <v>225</v>
      </c>
      <c r="L142">
        <v>5</v>
      </c>
      <c r="M142">
        <v>5</v>
      </c>
      <c r="N142">
        <v>5</v>
      </c>
      <c r="O142">
        <v>5</v>
      </c>
      <c r="Q142">
        <v>0</v>
      </c>
      <c r="R142">
        <v>12</v>
      </c>
      <c r="S142">
        <v>6.0830000000000002</v>
      </c>
      <c r="T142">
        <v>0</v>
      </c>
      <c r="V142" t="s">
        <v>225</v>
      </c>
    </row>
    <row r="143" spans="1:22">
      <c r="A143" s="81">
        <v>850003115634</v>
      </c>
      <c r="B143" t="s">
        <v>385</v>
      </c>
      <c r="C143" s="83">
        <v>9543</v>
      </c>
      <c r="D143" t="s">
        <v>238</v>
      </c>
      <c r="E143" s="82">
        <v>46014</v>
      </c>
      <c r="F143">
        <v>85</v>
      </c>
      <c r="G143" t="s">
        <v>310</v>
      </c>
      <c r="H143">
        <v>0</v>
      </c>
      <c r="J143" t="s">
        <v>225</v>
      </c>
      <c r="K143" t="s">
        <v>225</v>
      </c>
      <c r="L143">
        <v>5</v>
      </c>
      <c r="M143">
        <v>5</v>
      </c>
      <c r="N143">
        <v>5</v>
      </c>
      <c r="O143">
        <v>5</v>
      </c>
      <c r="Q143">
        <v>1</v>
      </c>
      <c r="R143">
        <v>12</v>
      </c>
      <c r="S143">
        <v>0.01</v>
      </c>
      <c r="T143">
        <v>0</v>
      </c>
      <c r="V143" t="s">
        <v>225</v>
      </c>
    </row>
    <row r="144" spans="1:22">
      <c r="A144" s="81">
        <v>850003115641</v>
      </c>
      <c r="B144" t="s">
        <v>386</v>
      </c>
      <c r="C144">
        <v>11</v>
      </c>
      <c r="E144" s="82">
        <v>45961</v>
      </c>
      <c r="F144">
        <v>0</v>
      </c>
      <c r="G144" t="s">
        <v>251</v>
      </c>
      <c r="H144">
        <v>0</v>
      </c>
      <c r="J144" t="s">
        <v>225</v>
      </c>
      <c r="K144" t="s">
        <v>225</v>
      </c>
      <c r="L144">
        <v>5</v>
      </c>
      <c r="M144">
        <v>5</v>
      </c>
      <c r="N144">
        <v>5</v>
      </c>
      <c r="O144">
        <v>5</v>
      </c>
      <c r="Q144">
        <v>1</v>
      </c>
      <c r="R144">
        <v>12</v>
      </c>
      <c r="S144">
        <v>0.01</v>
      </c>
      <c r="T144">
        <v>0</v>
      </c>
      <c r="V144" t="s">
        <v>225</v>
      </c>
    </row>
    <row r="145" spans="1:22">
      <c r="A145" s="81">
        <v>850003115658</v>
      </c>
      <c r="B145" t="s">
        <v>387</v>
      </c>
      <c r="C145" s="83">
        <v>2164</v>
      </c>
      <c r="D145" t="s">
        <v>238</v>
      </c>
      <c r="E145" s="82">
        <v>45834</v>
      </c>
      <c r="F145">
        <v>0</v>
      </c>
      <c r="G145" t="s">
        <v>259</v>
      </c>
      <c r="H145">
        <v>0</v>
      </c>
      <c r="J145" t="s">
        <v>225</v>
      </c>
      <c r="K145" t="s">
        <v>225</v>
      </c>
      <c r="L145">
        <v>5</v>
      </c>
      <c r="M145">
        <v>5</v>
      </c>
      <c r="N145">
        <v>5</v>
      </c>
      <c r="O145">
        <v>5</v>
      </c>
      <c r="Q145">
        <v>12</v>
      </c>
      <c r="R145">
        <v>36</v>
      </c>
      <c r="S145">
        <v>0.01</v>
      </c>
      <c r="T145">
        <v>0</v>
      </c>
      <c r="V145" t="s">
        <v>225</v>
      </c>
    </row>
    <row r="146" spans="1:22">
      <c r="A146" s="81">
        <v>850003115665</v>
      </c>
      <c r="B146" t="s">
        <v>388</v>
      </c>
      <c r="C146">
        <v>60</v>
      </c>
      <c r="D146" t="s">
        <v>238</v>
      </c>
      <c r="E146" s="82">
        <v>44071</v>
      </c>
      <c r="F146">
        <v>0</v>
      </c>
      <c r="G146" t="s">
        <v>251</v>
      </c>
      <c r="H146">
        <v>0</v>
      </c>
      <c r="J146" t="s">
        <v>225</v>
      </c>
      <c r="K146" t="s">
        <v>225</v>
      </c>
      <c r="L146">
        <v>5</v>
      </c>
      <c r="M146">
        <v>5</v>
      </c>
      <c r="N146">
        <v>5</v>
      </c>
      <c r="O146">
        <v>5</v>
      </c>
      <c r="Q146">
        <v>12</v>
      </c>
      <c r="R146">
        <v>36</v>
      </c>
      <c r="S146">
        <v>6.9119999999999999</v>
      </c>
      <c r="T146">
        <v>0</v>
      </c>
      <c r="V146" t="s">
        <v>225</v>
      </c>
    </row>
    <row r="147" spans="1:22">
      <c r="A147" s="81">
        <v>850003115672</v>
      </c>
      <c r="B147" t="s">
        <v>389</v>
      </c>
      <c r="C147">
        <v>0</v>
      </c>
      <c r="D147" t="s">
        <v>238</v>
      </c>
      <c r="E147" s="82">
        <v>45900</v>
      </c>
      <c r="F147">
        <v>0</v>
      </c>
      <c r="G147" t="s">
        <v>251</v>
      </c>
      <c r="H147">
        <v>0</v>
      </c>
      <c r="J147" t="s">
        <v>225</v>
      </c>
      <c r="K147" t="s">
        <v>225</v>
      </c>
      <c r="L147">
        <v>5</v>
      </c>
      <c r="M147">
        <v>5</v>
      </c>
      <c r="N147">
        <v>5</v>
      </c>
      <c r="O147">
        <v>5</v>
      </c>
      <c r="Q147">
        <v>1</v>
      </c>
      <c r="R147">
        <v>12</v>
      </c>
      <c r="S147">
        <v>0.02</v>
      </c>
      <c r="T147">
        <v>0</v>
      </c>
      <c r="V147" t="s">
        <v>225</v>
      </c>
    </row>
    <row r="148" spans="1:22">
      <c r="A148" s="81">
        <v>850003115801</v>
      </c>
      <c r="B148" t="s">
        <v>390</v>
      </c>
      <c r="C148" s="83">
        <v>8742</v>
      </c>
      <c r="D148" t="s">
        <v>238</v>
      </c>
      <c r="E148" s="82">
        <v>45918</v>
      </c>
      <c r="F148">
        <v>0</v>
      </c>
      <c r="G148" t="s">
        <v>251</v>
      </c>
      <c r="H148">
        <v>0</v>
      </c>
      <c r="J148" t="s">
        <v>225</v>
      </c>
      <c r="K148" t="s">
        <v>225</v>
      </c>
      <c r="L148">
        <v>5</v>
      </c>
      <c r="M148">
        <v>5</v>
      </c>
      <c r="N148">
        <v>5</v>
      </c>
      <c r="O148">
        <v>5</v>
      </c>
      <c r="Q148">
        <v>3</v>
      </c>
      <c r="R148">
        <v>12</v>
      </c>
      <c r="S148">
        <v>0.01</v>
      </c>
      <c r="T148">
        <v>0</v>
      </c>
      <c r="V148" t="s">
        <v>225</v>
      </c>
    </row>
    <row r="149" spans="1:22">
      <c r="A149" s="81" t="s">
        <v>391</v>
      </c>
      <c r="B149" t="s">
        <v>392</v>
      </c>
      <c r="C149">
        <v>0</v>
      </c>
      <c r="D149" t="s">
        <v>393</v>
      </c>
      <c r="E149" s="82">
        <v>44449</v>
      </c>
      <c r="F149">
        <v>0</v>
      </c>
      <c r="G149" t="s">
        <v>276</v>
      </c>
      <c r="H149">
        <v>0</v>
      </c>
      <c r="J149" t="s">
        <v>225</v>
      </c>
      <c r="K149" t="s">
        <v>225</v>
      </c>
      <c r="L149">
        <v>5</v>
      </c>
      <c r="M149">
        <v>5</v>
      </c>
      <c r="N149">
        <v>5</v>
      </c>
      <c r="O149">
        <v>5</v>
      </c>
      <c r="Q149">
        <v>3</v>
      </c>
      <c r="R149">
        <v>12</v>
      </c>
      <c r="S149">
        <v>2.5000000000000001E-2</v>
      </c>
      <c r="T149">
        <v>0</v>
      </c>
      <c r="V149" t="s">
        <v>225</v>
      </c>
    </row>
    <row r="150" spans="1:22">
      <c r="A150" s="81">
        <v>850003115856</v>
      </c>
      <c r="B150" t="s">
        <v>394</v>
      </c>
      <c r="C150" s="83">
        <v>1282</v>
      </c>
      <c r="D150" t="s">
        <v>238</v>
      </c>
      <c r="E150" s="82">
        <v>45940</v>
      </c>
      <c r="F150">
        <v>36</v>
      </c>
      <c r="G150" t="s">
        <v>251</v>
      </c>
      <c r="H150">
        <v>0</v>
      </c>
      <c r="J150" t="s">
        <v>225</v>
      </c>
      <c r="K150" t="s">
        <v>225</v>
      </c>
      <c r="L150">
        <v>5</v>
      </c>
      <c r="M150">
        <v>5</v>
      </c>
      <c r="N150">
        <v>5</v>
      </c>
      <c r="O150">
        <v>5</v>
      </c>
      <c r="Q150">
        <v>1</v>
      </c>
      <c r="R150">
        <v>12</v>
      </c>
      <c r="S150">
        <v>0.02</v>
      </c>
      <c r="T150">
        <v>0</v>
      </c>
      <c r="V150" t="s">
        <v>225</v>
      </c>
    </row>
    <row r="151" spans="1:22">
      <c r="A151" s="81">
        <v>850003115863</v>
      </c>
      <c r="B151" t="s">
        <v>395</v>
      </c>
      <c r="C151">
        <v>0</v>
      </c>
      <c r="E151" s="82">
        <v>45201</v>
      </c>
      <c r="F151">
        <v>0</v>
      </c>
      <c r="G151" t="s">
        <v>251</v>
      </c>
      <c r="H151">
        <v>0</v>
      </c>
      <c r="J151" t="s">
        <v>225</v>
      </c>
      <c r="K151" t="s">
        <v>225</v>
      </c>
      <c r="L151">
        <v>5</v>
      </c>
      <c r="M151">
        <v>5</v>
      </c>
      <c r="N151">
        <v>5</v>
      </c>
      <c r="O151">
        <v>5</v>
      </c>
      <c r="Q151">
        <v>0</v>
      </c>
      <c r="R151">
        <v>12</v>
      </c>
      <c r="S151">
        <v>0.02</v>
      </c>
      <c r="T151">
        <v>0</v>
      </c>
      <c r="V151" t="s">
        <v>225</v>
      </c>
    </row>
    <row r="152" spans="1:22">
      <c r="A152" s="81">
        <v>850003115917</v>
      </c>
      <c r="B152" t="s">
        <v>396</v>
      </c>
      <c r="C152" s="83">
        <v>1217</v>
      </c>
      <c r="D152" t="s">
        <v>238</v>
      </c>
      <c r="E152" s="82">
        <v>45961</v>
      </c>
      <c r="F152">
        <v>1</v>
      </c>
      <c r="G152" t="s">
        <v>251</v>
      </c>
      <c r="H152">
        <v>0</v>
      </c>
      <c r="J152" t="s">
        <v>225</v>
      </c>
      <c r="K152" t="s">
        <v>225</v>
      </c>
      <c r="L152">
        <v>5</v>
      </c>
      <c r="M152">
        <v>5</v>
      </c>
      <c r="N152">
        <v>5</v>
      </c>
      <c r="O152">
        <v>5</v>
      </c>
      <c r="Q152">
        <v>3</v>
      </c>
      <c r="R152">
        <v>12</v>
      </c>
      <c r="S152">
        <v>0.02</v>
      </c>
      <c r="T152">
        <v>0</v>
      </c>
      <c r="V152" t="s">
        <v>225</v>
      </c>
    </row>
    <row r="153" spans="1:22">
      <c r="A153" s="81">
        <v>850003115931</v>
      </c>
      <c r="B153" t="s">
        <v>397</v>
      </c>
      <c r="C153">
        <v>15</v>
      </c>
      <c r="D153" t="s">
        <v>238</v>
      </c>
      <c r="E153" s="82">
        <v>45918</v>
      </c>
      <c r="F153">
        <v>0</v>
      </c>
      <c r="G153" t="s">
        <v>251</v>
      </c>
      <c r="H153">
        <v>0</v>
      </c>
      <c r="J153" t="s">
        <v>225</v>
      </c>
      <c r="K153" t="s">
        <v>225</v>
      </c>
      <c r="L153">
        <v>5</v>
      </c>
      <c r="M153">
        <v>5</v>
      </c>
      <c r="N153">
        <v>5</v>
      </c>
      <c r="O153">
        <v>5</v>
      </c>
      <c r="Q153">
        <v>0</v>
      </c>
      <c r="R153">
        <v>12</v>
      </c>
      <c r="S153">
        <v>0.02</v>
      </c>
      <c r="T153">
        <v>0</v>
      </c>
      <c r="V153" t="s">
        <v>225</v>
      </c>
    </row>
    <row r="154" spans="1:22">
      <c r="A154" s="81">
        <v>850003115948</v>
      </c>
      <c r="B154" t="s">
        <v>398</v>
      </c>
      <c r="C154" s="83">
        <v>9225</v>
      </c>
      <c r="D154" t="s">
        <v>238</v>
      </c>
      <c r="E154" s="82">
        <v>46071</v>
      </c>
      <c r="F154">
        <v>217</v>
      </c>
      <c r="G154" t="s">
        <v>310</v>
      </c>
      <c r="H154">
        <v>0</v>
      </c>
      <c r="J154" t="s">
        <v>225</v>
      </c>
      <c r="K154" t="s">
        <v>225</v>
      </c>
      <c r="L154">
        <v>5</v>
      </c>
      <c r="M154">
        <v>5</v>
      </c>
      <c r="N154">
        <v>5</v>
      </c>
      <c r="O154">
        <v>5</v>
      </c>
      <c r="Q154">
        <v>1</v>
      </c>
      <c r="R154">
        <v>12</v>
      </c>
      <c r="S154">
        <v>1.2999999999999999E-2</v>
      </c>
      <c r="T154">
        <v>0</v>
      </c>
      <c r="V154" t="s">
        <v>225</v>
      </c>
    </row>
    <row r="155" spans="1:22">
      <c r="A155" s="81">
        <v>850003115955</v>
      </c>
      <c r="B155" t="s">
        <v>399</v>
      </c>
      <c r="C155" s="83">
        <v>1206</v>
      </c>
      <c r="D155" t="s">
        <v>238</v>
      </c>
      <c r="E155" s="82">
        <v>45846</v>
      </c>
      <c r="F155">
        <v>1</v>
      </c>
      <c r="G155" t="s">
        <v>259</v>
      </c>
      <c r="H155">
        <v>0</v>
      </c>
      <c r="J155" t="s">
        <v>225</v>
      </c>
      <c r="K155" t="s">
        <v>225</v>
      </c>
      <c r="L155">
        <v>5</v>
      </c>
      <c r="M155">
        <v>5</v>
      </c>
      <c r="N155">
        <v>5</v>
      </c>
      <c r="O155">
        <v>5</v>
      </c>
      <c r="Q155">
        <v>12</v>
      </c>
      <c r="R155">
        <v>36</v>
      </c>
      <c r="S155">
        <v>0.01</v>
      </c>
      <c r="T155">
        <v>0</v>
      </c>
      <c r="V155" t="s">
        <v>225</v>
      </c>
    </row>
    <row r="156" spans="1:22">
      <c r="A156" s="81">
        <v>850003115962</v>
      </c>
      <c r="B156" t="s">
        <v>400</v>
      </c>
      <c r="C156" s="83">
        <v>1313</v>
      </c>
      <c r="D156" t="s">
        <v>238</v>
      </c>
      <c r="E156" s="82">
        <v>44818</v>
      </c>
      <c r="F156">
        <v>0</v>
      </c>
      <c r="G156" t="s">
        <v>259</v>
      </c>
      <c r="H156">
        <v>0</v>
      </c>
      <c r="J156" t="s">
        <v>225</v>
      </c>
      <c r="K156" t="s">
        <v>225</v>
      </c>
      <c r="L156">
        <v>5</v>
      </c>
      <c r="M156">
        <v>5</v>
      </c>
      <c r="N156">
        <v>5</v>
      </c>
      <c r="O156">
        <v>5</v>
      </c>
      <c r="Q156">
        <v>12</v>
      </c>
      <c r="R156">
        <v>36</v>
      </c>
      <c r="S156">
        <v>0.01</v>
      </c>
      <c r="T156">
        <v>0</v>
      </c>
      <c r="V156" t="s">
        <v>225</v>
      </c>
    </row>
    <row r="157" spans="1:22">
      <c r="A157" s="81">
        <v>850003115979</v>
      </c>
      <c r="B157" t="s">
        <v>228</v>
      </c>
      <c r="C157">
        <v>0</v>
      </c>
      <c r="E157" s="82">
        <v>45316</v>
      </c>
      <c r="F157">
        <v>0</v>
      </c>
      <c r="G157" t="s">
        <v>229</v>
      </c>
      <c r="H157">
        <v>0</v>
      </c>
      <c r="J157" t="s">
        <v>225</v>
      </c>
      <c r="K157" t="s">
        <v>225</v>
      </c>
      <c r="L157">
        <v>5</v>
      </c>
      <c r="M157">
        <v>5</v>
      </c>
      <c r="N157">
        <v>5</v>
      </c>
      <c r="O157">
        <v>5</v>
      </c>
      <c r="Q157">
        <v>0</v>
      </c>
      <c r="R157">
        <v>0</v>
      </c>
      <c r="S157">
        <v>0</v>
      </c>
      <c r="T157">
        <v>0</v>
      </c>
      <c r="V157" t="s">
        <v>225</v>
      </c>
    </row>
    <row r="158" spans="1:22">
      <c r="A158" s="81">
        <v>850026141030</v>
      </c>
      <c r="B158" t="s">
        <v>401</v>
      </c>
      <c r="C158" s="83">
        <v>10502</v>
      </c>
      <c r="D158" t="s">
        <v>238</v>
      </c>
      <c r="E158" s="82">
        <v>45853</v>
      </c>
      <c r="F158">
        <v>0</v>
      </c>
      <c r="G158" t="s">
        <v>251</v>
      </c>
      <c r="H158">
        <v>0</v>
      </c>
      <c r="J158" t="s">
        <v>225</v>
      </c>
      <c r="K158" t="s">
        <v>225</v>
      </c>
      <c r="L158">
        <v>5</v>
      </c>
      <c r="M158">
        <v>5</v>
      </c>
      <c r="N158">
        <v>5</v>
      </c>
      <c r="O158">
        <v>5</v>
      </c>
      <c r="Q158">
        <v>3</v>
      </c>
      <c r="R158">
        <v>12</v>
      </c>
      <c r="S158">
        <v>0.01</v>
      </c>
      <c r="T158">
        <v>0</v>
      </c>
      <c r="V158" t="s">
        <v>225</v>
      </c>
    </row>
    <row r="159" spans="1:22">
      <c r="A159" s="81" t="s">
        <v>402</v>
      </c>
      <c r="B159" t="s">
        <v>403</v>
      </c>
      <c r="C159">
        <v>0</v>
      </c>
      <c r="E159" s="82">
        <v>44400</v>
      </c>
      <c r="F159">
        <v>0</v>
      </c>
      <c r="G159" t="s">
        <v>276</v>
      </c>
      <c r="H159">
        <v>0</v>
      </c>
      <c r="J159" t="s">
        <v>225</v>
      </c>
      <c r="K159" t="s">
        <v>225</v>
      </c>
      <c r="L159">
        <v>5</v>
      </c>
      <c r="M159">
        <v>5</v>
      </c>
      <c r="N159">
        <v>5</v>
      </c>
      <c r="O159">
        <v>5</v>
      </c>
      <c r="Q159">
        <v>3</v>
      </c>
      <c r="R159">
        <v>12</v>
      </c>
      <c r="S159">
        <v>2.5000000000000001E-2</v>
      </c>
      <c r="T159">
        <v>0</v>
      </c>
      <c r="V159" t="s">
        <v>225</v>
      </c>
    </row>
    <row r="160" spans="1:22">
      <c r="A160" s="81">
        <v>850026141054</v>
      </c>
      <c r="B160" t="s">
        <v>404</v>
      </c>
      <c r="C160">
        <v>44</v>
      </c>
      <c r="D160" t="s">
        <v>238</v>
      </c>
      <c r="E160" s="82">
        <v>46099</v>
      </c>
      <c r="F160">
        <v>0</v>
      </c>
      <c r="G160" t="s">
        <v>251</v>
      </c>
      <c r="H160">
        <v>0</v>
      </c>
      <c r="J160" t="s">
        <v>225</v>
      </c>
      <c r="K160" t="s">
        <v>225</v>
      </c>
      <c r="L160">
        <v>5</v>
      </c>
      <c r="M160">
        <v>5</v>
      </c>
      <c r="N160">
        <v>5</v>
      </c>
      <c r="O160">
        <v>5</v>
      </c>
      <c r="Q160">
        <v>3</v>
      </c>
      <c r="R160">
        <v>12</v>
      </c>
      <c r="S160">
        <v>1.6E-2</v>
      </c>
      <c r="T160">
        <v>0</v>
      </c>
      <c r="V160" t="s">
        <v>225</v>
      </c>
    </row>
    <row r="161" spans="1:22">
      <c r="A161" s="81" t="s">
        <v>405</v>
      </c>
      <c r="B161" t="s">
        <v>406</v>
      </c>
      <c r="C161">
        <v>0</v>
      </c>
      <c r="F161">
        <v>0</v>
      </c>
      <c r="G161" t="s">
        <v>276</v>
      </c>
      <c r="H161">
        <v>0</v>
      </c>
      <c r="J161" t="s">
        <v>225</v>
      </c>
      <c r="K161" t="s">
        <v>225</v>
      </c>
      <c r="L161">
        <v>5</v>
      </c>
      <c r="M161">
        <v>5</v>
      </c>
      <c r="N161">
        <v>5</v>
      </c>
      <c r="O161">
        <v>5</v>
      </c>
      <c r="Q161">
        <v>0</v>
      </c>
      <c r="R161">
        <v>12</v>
      </c>
      <c r="S161">
        <v>6.0830000000000002</v>
      </c>
      <c r="T161">
        <v>0</v>
      </c>
      <c r="V161" t="s">
        <v>225</v>
      </c>
    </row>
    <row r="162" spans="1:22">
      <c r="A162" s="81">
        <v>850026141092</v>
      </c>
      <c r="B162" t="s">
        <v>407</v>
      </c>
      <c r="C162">
        <v>0</v>
      </c>
      <c r="E162" s="82">
        <v>45771</v>
      </c>
      <c r="F162">
        <v>0</v>
      </c>
      <c r="G162" t="s">
        <v>251</v>
      </c>
      <c r="H162">
        <v>0</v>
      </c>
      <c r="J162" t="s">
        <v>225</v>
      </c>
      <c r="K162" t="s">
        <v>225</v>
      </c>
      <c r="L162">
        <v>5</v>
      </c>
      <c r="M162">
        <v>5</v>
      </c>
      <c r="N162">
        <v>5</v>
      </c>
      <c r="O162">
        <v>5</v>
      </c>
      <c r="Q162">
        <v>12</v>
      </c>
      <c r="R162">
        <v>36</v>
      </c>
      <c r="S162">
        <v>0.02</v>
      </c>
      <c r="T162">
        <v>0</v>
      </c>
      <c r="V162" t="s">
        <v>225</v>
      </c>
    </row>
    <row r="163" spans="1:22">
      <c r="A163" s="81">
        <v>850026141108</v>
      </c>
      <c r="B163" t="s">
        <v>408</v>
      </c>
      <c r="C163">
        <v>0</v>
      </c>
      <c r="E163" s="82">
        <v>45771</v>
      </c>
      <c r="F163">
        <v>0</v>
      </c>
      <c r="G163" t="s">
        <v>251</v>
      </c>
      <c r="H163">
        <v>0</v>
      </c>
      <c r="J163" t="s">
        <v>225</v>
      </c>
      <c r="K163" t="s">
        <v>225</v>
      </c>
      <c r="L163">
        <v>5</v>
      </c>
      <c r="M163">
        <v>5</v>
      </c>
      <c r="N163">
        <v>5</v>
      </c>
      <c r="O163">
        <v>5</v>
      </c>
      <c r="Q163">
        <v>12</v>
      </c>
      <c r="R163">
        <v>36</v>
      </c>
      <c r="S163">
        <v>0.02</v>
      </c>
      <c r="T163">
        <v>0</v>
      </c>
      <c r="V163" t="s">
        <v>225</v>
      </c>
    </row>
    <row r="164" spans="1:22">
      <c r="A164" s="81">
        <v>850026141115</v>
      </c>
      <c r="B164" t="s">
        <v>409</v>
      </c>
      <c r="C164">
        <v>0</v>
      </c>
      <c r="E164" s="82">
        <v>45771</v>
      </c>
      <c r="F164">
        <v>0</v>
      </c>
      <c r="G164" t="s">
        <v>251</v>
      </c>
      <c r="H164">
        <v>0</v>
      </c>
      <c r="J164" t="s">
        <v>225</v>
      </c>
      <c r="K164" t="s">
        <v>225</v>
      </c>
      <c r="L164">
        <v>5</v>
      </c>
      <c r="M164">
        <v>5</v>
      </c>
      <c r="N164">
        <v>5</v>
      </c>
      <c r="O164">
        <v>5</v>
      </c>
      <c r="Q164">
        <v>12</v>
      </c>
      <c r="R164">
        <v>36</v>
      </c>
      <c r="S164">
        <v>0.02</v>
      </c>
      <c r="T164">
        <v>0</v>
      </c>
      <c r="V164" t="s">
        <v>225</v>
      </c>
    </row>
    <row r="165" spans="1:22">
      <c r="A165" s="81" t="s">
        <v>410</v>
      </c>
      <c r="B165" t="s">
        <v>411</v>
      </c>
      <c r="C165">
        <v>0</v>
      </c>
      <c r="D165" t="s">
        <v>368</v>
      </c>
      <c r="E165" s="82">
        <v>44356</v>
      </c>
      <c r="F165">
        <v>0</v>
      </c>
      <c r="G165" t="s">
        <v>276</v>
      </c>
      <c r="H165">
        <v>0</v>
      </c>
      <c r="J165" t="s">
        <v>225</v>
      </c>
      <c r="K165" t="s">
        <v>225</v>
      </c>
      <c r="L165">
        <v>5</v>
      </c>
      <c r="M165">
        <v>5</v>
      </c>
      <c r="N165">
        <v>5</v>
      </c>
      <c r="Q165">
        <v>0</v>
      </c>
      <c r="R165">
        <v>500</v>
      </c>
      <c r="S165">
        <v>1.024</v>
      </c>
      <c r="T165">
        <v>0</v>
      </c>
      <c r="V165" t="s">
        <v>225</v>
      </c>
    </row>
    <row r="166" spans="1:22">
      <c r="A166" s="81" t="s">
        <v>412</v>
      </c>
      <c r="B166" t="s">
        <v>413</v>
      </c>
      <c r="C166">
        <v>0</v>
      </c>
      <c r="F166">
        <v>0</v>
      </c>
      <c r="G166" t="s">
        <v>276</v>
      </c>
      <c r="H166">
        <v>0</v>
      </c>
      <c r="J166" t="s">
        <v>225</v>
      </c>
      <c r="K166" t="s">
        <v>225</v>
      </c>
      <c r="L166">
        <v>5</v>
      </c>
      <c r="M166">
        <v>5</v>
      </c>
      <c r="N166">
        <v>5</v>
      </c>
      <c r="Q166">
        <v>0</v>
      </c>
      <c r="R166">
        <v>500</v>
      </c>
      <c r="S166">
        <v>1.024</v>
      </c>
      <c r="T166">
        <v>0</v>
      </c>
      <c r="V166" t="s">
        <v>225</v>
      </c>
    </row>
    <row r="167" spans="1:22">
      <c r="A167" s="81" t="s">
        <v>414</v>
      </c>
      <c r="B167" t="s">
        <v>413</v>
      </c>
      <c r="C167">
        <v>0</v>
      </c>
      <c r="F167">
        <v>0</v>
      </c>
      <c r="G167" t="s">
        <v>276</v>
      </c>
      <c r="H167">
        <v>0</v>
      </c>
      <c r="J167" t="s">
        <v>225</v>
      </c>
      <c r="K167" t="s">
        <v>225</v>
      </c>
      <c r="L167">
        <v>5</v>
      </c>
      <c r="M167">
        <v>5</v>
      </c>
      <c r="N167">
        <v>5</v>
      </c>
      <c r="Q167">
        <v>0</v>
      </c>
      <c r="R167">
        <v>500</v>
      </c>
      <c r="S167">
        <v>1.024</v>
      </c>
      <c r="T167">
        <v>0</v>
      </c>
      <c r="V167" t="s">
        <v>225</v>
      </c>
    </row>
    <row r="168" spans="1:22">
      <c r="A168" s="81">
        <v>850026141122</v>
      </c>
      <c r="B168" t="s">
        <v>415</v>
      </c>
      <c r="C168" s="83">
        <v>6291</v>
      </c>
      <c r="D168" t="s">
        <v>238</v>
      </c>
      <c r="E168" s="82">
        <v>46022</v>
      </c>
      <c r="F168">
        <v>4</v>
      </c>
      <c r="G168" t="s">
        <v>251</v>
      </c>
      <c r="H168">
        <v>0</v>
      </c>
      <c r="J168" t="s">
        <v>225</v>
      </c>
      <c r="K168" t="s">
        <v>225</v>
      </c>
      <c r="L168">
        <v>5</v>
      </c>
      <c r="M168">
        <v>5</v>
      </c>
      <c r="N168">
        <v>5</v>
      </c>
      <c r="O168">
        <v>5</v>
      </c>
      <c r="Q168">
        <v>12</v>
      </c>
      <c r="R168">
        <v>36</v>
      </c>
      <c r="S168">
        <v>0.01</v>
      </c>
      <c r="T168">
        <v>0</v>
      </c>
      <c r="V168" t="s">
        <v>225</v>
      </c>
    </row>
    <row r="169" spans="1:22">
      <c r="A169" s="81">
        <v>850026141139</v>
      </c>
      <c r="B169" t="s">
        <v>416</v>
      </c>
      <c r="C169" s="83">
        <v>10317</v>
      </c>
      <c r="D169" t="s">
        <v>238</v>
      </c>
      <c r="E169" s="82">
        <v>46022</v>
      </c>
      <c r="F169">
        <v>1</v>
      </c>
      <c r="G169" t="s">
        <v>251</v>
      </c>
      <c r="H169">
        <v>0</v>
      </c>
      <c r="J169" t="s">
        <v>225</v>
      </c>
      <c r="K169" t="s">
        <v>225</v>
      </c>
      <c r="L169">
        <v>5</v>
      </c>
      <c r="M169">
        <v>5</v>
      </c>
      <c r="N169">
        <v>5</v>
      </c>
      <c r="O169">
        <v>5</v>
      </c>
      <c r="Q169">
        <v>12</v>
      </c>
      <c r="R169">
        <v>36</v>
      </c>
      <c r="S169">
        <v>0.01</v>
      </c>
      <c r="T169">
        <v>0</v>
      </c>
      <c r="V169" t="s">
        <v>225</v>
      </c>
    </row>
    <row r="170" spans="1:22">
      <c r="A170" s="81">
        <v>850026141146</v>
      </c>
      <c r="B170" t="s">
        <v>417</v>
      </c>
      <c r="C170">
        <v>171</v>
      </c>
      <c r="D170" t="s">
        <v>238</v>
      </c>
      <c r="E170" s="82">
        <v>45201</v>
      </c>
      <c r="F170">
        <v>0</v>
      </c>
      <c r="G170" t="s">
        <v>251</v>
      </c>
      <c r="H170">
        <v>0</v>
      </c>
      <c r="J170" t="s">
        <v>225</v>
      </c>
      <c r="K170" t="s">
        <v>225</v>
      </c>
      <c r="L170">
        <v>5</v>
      </c>
      <c r="M170">
        <v>5</v>
      </c>
      <c r="N170">
        <v>5</v>
      </c>
      <c r="O170">
        <v>5</v>
      </c>
      <c r="Q170">
        <v>0</v>
      </c>
      <c r="R170">
        <v>12</v>
      </c>
      <c r="S170">
        <v>0.04</v>
      </c>
      <c r="T170">
        <v>0</v>
      </c>
      <c r="V170" t="s">
        <v>225</v>
      </c>
    </row>
    <row r="171" spans="1:22">
      <c r="A171" s="81">
        <v>850026141184</v>
      </c>
      <c r="B171" t="s">
        <v>418</v>
      </c>
      <c r="C171">
        <v>27</v>
      </c>
      <c r="D171" t="s">
        <v>238</v>
      </c>
      <c r="E171" s="82">
        <v>46083</v>
      </c>
      <c r="F171">
        <v>24</v>
      </c>
      <c r="G171" t="s">
        <v>259</v>
      </c>
      <c r="H171">
        <v>855</v>
      </c>
      <c r="J171" t="s">
        <v>225</v>
      </c>
      <c r="K171" t="s">
        <v>225</v>
      </c>
      <c r="L171">
        <v>5</v>
      </c>
      <c r="M171">
        <v>5</v>
      </c>
      <c r="N171">
        <v>5</v>
      </c>
      <c r="O171">
        <v>5</v>
      </c>
      <c r="Q171">
        <v>0</v>
      </c>
      <c r="R171">
        <v>12</v>
      </c>
      <c r="S171">
        <v>7.0000000000000007E-2</v>
      </c>
      <c r="T171">
        <v>0</v>
      </c>
      <c r="V171" t="s">
        <v>225</v>
      </c>
    </row>
    <row r="172" spans="1:22">
      <c r="A172" s="81">
        <v>850026141252</v>
      </c>
      <c r="B172" t="s">
        <v>419</v>
      </c>
      <c r="C172">
        <v>6</v>
      </c>
      <c r="E172" s="82">
        <v>45237</v>
      </c>
      <c r="F172">
        <v>0</v>
      </c>
      <c r="G172" t="s">
        <v>251</v>
      </c>
      <c r="H172">
        <v>0</v>
      </c>
      <c r="J172" t="s">
        <v>225</v>
      </c>
      <c r="K172" t="s">
        <v>225</v>
      </c>
      <c r="L172">
        <v>5</v>
      </c>
      <c r="M172">
        <v>5</v>
      </c>
      <c r="N172">
        <v>5</v>
      </c>
      <c r="O172">
        <v>5</v>
      </c>
      <c r="Q172">
        <v>0</v>
      </c>
      <c r="R172">
        <v>12</v>
      </c>
      <c r="S172">
        <v>0.01</v>
      </c>
      <c r="T172">
        <v>0</v>
      </c>
      <c r="V172" t="s">
        <v>225</v>
      </c>
    </row>
    <row r="173" spans="1:22">
      <c r="A173" s="81">
        <v>850026141283</v>
      </c>
      <c r="B173" t="s">
        <v>420</v>
      </c>
      <c r="C173">
        <v>106</v>
      </c>
      <c r="D173" t="s">
        <v>238</v>
      </c>
      <c r="E173" s="82">
        <v>45940</v>
      </c>
      <c r="F173">
        <v>0</v>
      </c>
      <c r="G173" t="s">
        <v>251</v>
      </c>
      <c r="H173">
        <v>0</v>
      </c>
      <c r="J173" t="s">
        <v>225</v>
      </c>
      <c r="K173" t="s">
        <v>225</v>
      </c>
      <c r="L173">
        <v>5</v>
      </c>
      <c r="M173">
        <v>5</v>
      </c>
      <c r="N173">
        <v>5</v>
      </c>
      <c r="O173">
        <v>5</v>
      </c>
      <c r="Q173">
        <v>0</v>
      </c>
      <c r="R173">
        <v>12</v>
      </c>
      <c r="S173">
        <v>0.01</v>
      </c>
      <c r="T173">
        <v>0</v>
      </c>
      <c r="V173" t="s">
        <v>225</v>
      </c>
    </row>
    <row r="174" spans="1:22">
      <c r="A174" s="81">
        <v>850026141290</v>
      </c>
      <c r="B174" t="s">
        <v>421</v>
      </c>
      <c r="C174" s="83">
        <v>1990</v>
      </c>
      <c r="D174" t="s">
        <v>238</v>
      </c>
      <c r="E174" s="82">
        <v>46022</v>
      </c>
      <c r="F174">
        <v>324</v>
      </c>
      <c r="G174" t="s">
        <v>251</v>
      </c>
      <c r="H174">
        <v>0</v>
      </c>
      <c r="J174" t="s">
        <v>225</v>
      </c>
      <c r="K174" t="s">
        <v>225</v>
      </c>
      <c r="L174">
        <v>5</v>
      </c>
      <c r="M174">
        <v>5</v>
      </c>
      <c r="N174">
        <v>5</v>
      </c>
      <c r="O174">
        <v>5</v>
      </c>
      <c r="Q174">
        <v>0</v>
      </c>
      <c r="R174">
        <v>12</v>
      </c>
      <c r="S174">
        <v>0.01</v>
      </c>
      <c r="T174">
        <v>0</v>
      </c>
      <c r="V174" t="s">
        <v>225</v>
      </c>
    </row>
    <row r="175" spans="1:22">
      <c r="A175" s="81">
        <v>850026141306</v>
      </c>
      <c r="B175" t="s">
        <v>422</v>
      </c>
      <c r="C175" s="83">
        <v>3040</v>
      </c>
      <c r="D175" t="s">
        <v>238</v>
      </c>
      <c r="E175" s="82">
        <v>46041</v>
      </c>
      <c r="F175">
        <v>1</v>
      </c>
      <c r="G175" t="s">
        <v>251</v>
      </c>
      <c r="H175">
        <v>0</v>
      </c>
      <c r="J175" t="s">
        <v>225</v>
      </c>
      <c r="K175" t="s">
        <v>225</v>
      </c>
      <c r="L175">
        <v>5</v>
      </c>
      <c r="M175">
        <v>5</v>
      </c>
      <c r="N175">
        <v>5</v>
      </c>
      <c r="O175">
        <v>5</v>
      </c>
      <c r="Q175">
        <v>0</v>
      </c>
      <c r="R175">
        <v>12</v>
      </c>
      <c r="S175">
        <v>2.5000000000000001E-2</v>
      </c>
      <c r="T175">
        <v>0</v>
      </c>
      <c r="V175" t="s">
        <v>225</v>
      </c>
    </row>
    <row r="176" spans="1:22">
      <c r="A176" s="81">
        <v>850026141320</v>
      </c>
      <c r="B176" t="s">
        <v>423</v>
      </c>
      <c r="C176" s="83">
        <v>2796</v>
      </c>
      <c r="D176" t="s">
        <v>238</v>
      </c>
      <c r="E176" s="82">
        <v>45961</v>
      </c>
      <c r="F176">
        <v>0</v>
      </c>
      <c r="G176" t="s">
        <v>310</v>
      </c>
      <c r="H176">
        <v>0</v>
      </c>
      <c r="J176" t="s">
        <v>225</v>
      </c>
      <c r="K176" t="s">
        <v>225</v>
      </c>
      <c r="L176">
        <v>5</v>
      </c>
      <c r="M176">
        <v>5</v>
      </c>
      <c r="N176">
        <v>5</v>
      </c>
      <c r="O176">
        <v>5</v>
      </c>
      <c r="Q176">
        <v>6</v>
      </c>
      <c r="R176">
        <v>36</v>
      </c>
      <c r="S176">
        <v>5.0000000000000001E-3</v>
      </c>
      <c r="T176">
        <v>0</v>
      </c>
      <c r="V176" t="s">
        <v>225</v>
      </c>
    </row>
    <row r="177" spans="1:22">
      <c r="A177" s="81">
        <v>850026141337</v>
      </c>
      <c r="B177" t="s">
        <v>424</v>
      </c>
      <c r="C177" s="83">
        <v>1996</v>
      </c>
      <c r="D177" t="s">
        <v>238</v>
      </c>
      <c r="E177" s="82">
        <v>44484</v>
      </c>
      <c r="F177">
        <v>0</v>
      </c>
      <c r="G177" t="s">
        <v>259</v>
      </c>
      <c r="H177">
        <v>0</v>
      </c>
      <c r="J177" t="s">
        <v>225</v>
      </c>
      <c r="K177" t="s">
        <v>225</v>
      </c>
      <c r="L177">
        <v>5</v>
      </c>
      <c r="M177">
        <v>5</v>
      </c>
      <c r="N177">
        <v>5</v>
      </c>
      <c r="O177">
        <v>5</v>
      </c>
      <c r="Q177">
        <v>12</v>
      </c>
      <c r="R177">
        <v>36</v>
      </c>
      <c r="S177">
        <v>0.01</v>
      </c>
      <c r="T177">
        <v>0</v>
      </c>
      <c r="V177" t="s">
        <v>225</v>
      </c>
    </row>
    <row r="178" spans="1:22">
      <c r="A178" s="81">
        <v>850026141351</v>
      </c>
      <c r="B178" t="s">
        <v>425</v>
      </c>
      <c r="C178" s="83">
        <v>6054</v>
      </c>
      <c r="D178" t="s">
        <v>238</v>
      </c>
      <c r="E178" s="82">
        <v>46099</v>
      </c>
      <c r="F178">
        <v>0</v>
      </c>
      <c r="G178" t="s">
        <v>251</v>
      </c>
      <c r="H178">
        <v>0</v>
      </c>
      <c r="J178" t="s">
        <v>225</v>
      </c>
      <c r="K178" t="s">
        <v>225</v>
      </c>
      <c r="L178">
        <v>5</v>
      </c>
      <c r="M178">
        <v>5</v>
      </c>
      <c r="N178">
        <v>5</v>
      </c>
      <c r="O178">
        <v>5</v>
      </c>
      <c r="Q178">
        <v>0</v>
      </c>
      <c r="R178">
        <v>12</v>
      </c>
      <c r="S178">
        <v>5.0999999999999997E-2</v>
      </c>
      <c r="T178">
        <v>0</v>
      </c>
      <c r="V178" t="s">
        <v>225</v>
      </c>
    </row>
    <row r="179" spans="1:22">
      <c r="A179" s="81">
        <v>850026141382</v>
      </c>
      <c r="B179" t="s">
        <v>426</v>
      </c>
      <c r="C179">
        <v>589</v>
      </c>
      <c r="D179" t="s">
        <v>238</v>
      </c>
      <c r="E179" s="82">
        <v>45940</v>
      </c>
      <c r="F179">
        <v>24</v>
      </c>
      <c r="G179" t="s">
        <v>259</v>
      </c>
      <c r="H179">
        <v>0</v>
      </c>
      <c r="J179" t="s">
        <v>225</v>
      </c>
      <c r="K179" t="s">
        <v>225</v>
      </c>
      <c r="L179">
        <v>5</v>
      </c>
      <c r="M179">
        <v>5</v>
      </c>
      <c r="N179">
        <v>5</v>
      </c>
      <c r="O179">
        <v>5</v>
      </c>
      <c r="Q179">
        <v>0</v>
      </c>
      <c r="R179">
        <v>12</v>
      </c>
      <c r="S179">
        <v>0.01</v>
      </c>
      <c r="T179">
        <v>0</v>
      </c>
      <c r="V179" t="s">
        <v>225</v>
      </c>
    </row>
    <row r="180" spans="1:22">
      <c r="A180" s="81">
        <v>850026141399</v>
      </c>
      <c r="B180" t="s">
        <v>427</v>
      </c>
      <c r="C180" s="83">
        <v>7325</v>
      </c>
      <c r="D180" t="s">
        <v>250</v>
      </c>
      <c r="E180" s="82">
        <v>46017</v>
      </c>
      <c r="F180">
        <v>0</v>
      </c>
      <c r="G180" t="s">
        <v>251</v>
      </c>
      <c r="H180">
        <v>0</v>
      </c>
      <c r="J180" t="s">
        <v>225</v>
      </c>
      <c r="K180" t="s">
        <v>225</v>
      </c>
      <c r="L180">
        <v>5</v>
      </c>
      <c r="M180">
        <v>5</v>
      </c>
      <c r="N180">
        <v>5</v>
      </c>
      <c r="O180">
        <v>5</v>
      </c>
      <c r="Q180">
        <v>0</v>
      </c>
      <c r="R180">
        <v>12</v>
      </c>
      <c r="S180">
        <v>2.5000000000000001E-2</v>
      </c>
      <c r="T180">
        <v>0</v>
      </c>
      <c r="V180" t="s">
        <v>225</v>
      </c>
    </row>
    <row r="181" spans="1:22">
      <c r="A181" s="81">
        <v>850026141405</v>
      </c>
      <c r="B181" t="s">
        <v>428</v>
      </c>
      <c r="C181">
        <v>0</v>
      </c>
      <c r="D181" t="s">
        <v>429</v>
      </c>
      <c r="E181" s="82">
        <v>44881</v>
      </c>
      <c r="F181">
        <v>0</v>
      </c>
      <c r="G181" t="s">
        <v>251</v>
      </c>
      <c r="H181">
        <v>0</v>
      </c>
      <c r="J181" t="s">
        <v>225</v>
      </c>
      <c r="K181" t="s">
        <v>225</v>
      </c>
      <c r="L181">
        <v>5</v>
      </c>
      <c r="M181">
        <v>5</v>
      </c>
      <c r="N181">
        <v>5</v>
      </c>
      <c r="O181">
        <v>5</v>
      </c>
      <c r="Q181">
        <v>6</v>
      </c>
      <c r="R181">
        <v>12</v>
      </c>
      <c r="S181">
        <v>2.5000000000000001E-2</v>
      </c>
      <c r="T181">
        <v>0</v>
      </c>
      <c r="V181" t="s">
        <v>225</v>
      </c>
    </row>
    <row r="182" spans="1:22">
      <c r="A182" s="81">
        <v>850026141429</v>
      </c>
      <c r="B182" t="s">
        <v>430</v>
      </c>
      <c r="C182">
        <v>608</v>
      </c>
      <c r="D182" t="s">
        <v>429</v>
      </c>
      <c r="E182" s="82">
        <v>45138</v>
      </c>
      <c r="F182">
        <v>0</v>
      </c>
      <c r="G182" t="s">
        <v>251</v>
      </c>
      <c r="H182">
        <v>0</v>
      </c>
      <c r="J182" t="s">
        <v>225</v>
      </c>
      <c r="K182" t="s">
        <v>225</v>
      </c>
      <c r="L182">
        <v>5</v>
      </c>
      <c r="M182">
        <v>5</v>
      </c>
      <c r="N182">
        <v>5</v>
      </c>
      <c r="O182">
        <v>5</v>
      </c>
      <c r="Q182">
        <v>6</v>
      </c>
      <c r="R182">
        <v>12</v>
      </c>
      <c r="S182">
        <v>1.7999999999999999E-2</v>
      </c>
      <c r="T182">
        <v>0</v>
      </c>
      <c r="V182" t="s">
        <v>225</v>
      </c>
    </row>
    <row r="183" spans="1:22">
      <c r="A183" s="81">
        <v>850026141474</v>
      </c>
      <c r="B183" t="s">
        <v>431</v>
      </c>
      <c r="C183">
        <v>1</v>
      </c>
      <c r="D183" t="s">
        <v>238</v>
      </c>
      <c r="E183" s="82">
        <v>44907</v>
      </c>
      <c r="F183">
        <v>0</v>
      </c>
      <c r="G183" t="s">
        <v>251</v>
      </c>
      <c r="H183">
        <v>0</v>
      </c>
      <c r="J183" t="s">
        <v>225</v>
      </c>
      <c r="K183" t="s">
        <v>225</v>
      </c>
      <c r="L183">
        <v>5</v>
      </c>
      <c r="M183">
        <v>5</v>
      </c>
      <c r="N183">
        <v>5</v>
      </c>
      <c r="O183">
        <v>5</v>
      </c>
      <c r="Q183">
        <v>6</v>
      </c>
      <c r="R183">
        <v>12</v>
      </c>
      <c r="S183">
        <v>2.5000000000000001E-2</v>
      </c>
      <c r="T183">
        <v>0</v>
      </c>
      <c r="V183" t="s">
        <v>225</v>
      </c>
    </row>
    <row r="184" spans="1:22">
      <c r="A184" s="81">
        <v>850026141498</v>
      </c>
      <c r="B184" t="s">
        <v>432</v>
      </c>
      <c r="C184">
        <v>480</v>
      </c>
      <c r="D184" t="s">
        <v>429</v>
      </c>
      <c r="E184" s="82">
        <v>45148</v>
      </c>
      <c r="F184">
        <v>0</v>
      </c>
      <c r="G184" t="s">
        <v>251</v>
      </c>
      <c r="H184">
        <v>0</v>
      </c>
      <c r="J184" t="s">
        <v>225</v>
      </c>
      <c r="K184" t="s">
        <v>225</v>
      </c>
      <c r="L184">
        <v>5</v>
      </c>
      <c r="M184">
        <v>5</v>
      </c>
      <c r="N184">
        <v>5</v>
      </c>
      <c r="O184">
        <v>5</v>
      </c>
      <c r="Q184">
        <v>6</v>
      </c>
      <c r="R184">
        <v>12</v>
      </c>
      <c r="S184">
        <v>2.5000000000000001E-2</v>
      </c>
      <c r="T184">
        <v>0</v>
      </c>
      <c r="V184" t="s">
        <v>225</v>
      </c>
    </row>
    <row r="185" spans="1:22">
      <c r="A185" s="81">
        <v>850026141504</v>
      </c>
      <c r="B185" t="s">
        <v>433</v>
      </c>
      <c r="C185">
        <v>776</v>
      </c>
      <c r="D185" t="s">
        <v>429</v>
      </c>
      <c r="E185" s="82">
        <v>45958</v>
      </c>
      <c r="F185">
        <v>0</v>
      </c>
      <c r="G185" t="s">
        <v>251</v>
      </c>
      <c r="H185">
        <v>0</v>
      </c>
      <c r="J185" t="s">
        <v>225</v>
      </c>
      <c r="K185" t="s">
        <v>225</v>
      </c>
      <c r="L185">
        <v>5</v>
      </c>
      <c r="M185">
        <v>5</v>
      </c>
      <c r="N185">
        <v>5</v>
      </c>
      <c r="O185">
        <v>5</v>
      </c>
      <c r="Q185">
        <v>6</v>
      </c>
      <c r="R185">
        <v>12</v>
      </c>
      <c r="S185">
        <v>2.9000000000000001E-2</v>
      </c>
      <c r="T185">
        <v>0</v>
      </c>
      <c r="V185" t="s">
        <v>225</v>
      </c>
    </row>
    <row r="186" spans="1:22">
      <c r="A186" s="81">
        <v>850026141573</v>
      </c>
      <c r="B186" t="s">
        <v>434</v>
      </c>
      <c r="C186" s="83">
        <v>7184</v>
      </c>
      <c r="D186" t="s">
        <v>238</v>
      </c>
      <c r="E186" s="82">
        <v>45834</v>
      </c>
      <c r="F186">
        <v>0</v>
      </c>
      <c r="G186" t="s">
        <v>251</v>
      </c>
      <c r="H186">
        <v>0</v>
      </c>
      <c r="J186" t="s">
        <v>225</v>
      </c>
      <c r="K186" t="s">
        <v>225</v>
      </c>
      <c r="L186">
        <v>5</v>
      </c>
      <c r="M186">
        <v>5</v>
      </c>
      <c r="N186">
        <v>5</v>
      </c>
      <c r="O186">
        <v>5</v>
      </c>
      <c r="Q186">
        <v>3</v>
      </c>
      <c r="R186">
        <v>12</v>
      </c>
      <c r="S186">
        <v>0.02</v>
      </c>
      <c r="T186">
        <v>0</v>
      </c>
      <c r="V186" t="s">
        <v>225</v>
      </c>
    </row>
    <row r="187" spans="1:22">
      <c r="A187" s="81">
        <v>850026141580</v>
      </c>
      <c r="B187" t="s">
        <v>435</v>
      </c>
      <c r="C187">
        <v>23</v>
      </c>
      <c r="E187" s="82">
        <v>46022</v>
      </c>
      <c r="F187">
        <v>0</v>
      </c>
      <c r="G187" t="s">
        <v>251</v>
      </c>
      <c r="H187">
        <v>0</v>
      </c>
      <c r="J187" t="s">
        <v>225</v>
      </c>
      <c r="K187" t="s">
        <v>225</v>
      </c>
      <c r="L187">
        <v>5</v>
      </c>
      <c r="M187">
        <v>5</v>
      </c>
      <c r="N187">
        <v>5</v>
      </c>
      <c r="O187">
        <v>5</v>
      </c>
      <c r="Q187">
        <v>0</v>
      </c>
      <c r="R187">
        <v>6</v>
      </c>
      <c r="S187">
        <v>0.08</v>
      </c>
      <c r="T187">
        <v>0</v>
      </c>
      <c r="V187" t="s">
        <v>225</v>
      </c>
    </row>
    <row r="188" spans="1:22">
      <c r="A188" s="81">
        <v>850026141597</v>
      </c>
      <c r="B188" t="s">
        <v>436</v>
      </c>
      <c r="C188" s="83">
        <v>1640</v>
      </c>
      <c r="D188" t="s">
        <v>238</v>
      </c>
      <c r="E188" s="82">
        <v>46009</v>
      </c>
      <c r="F188">
        <v>0</v>
      </c>
      <c r="G188" t="s">
        <v>251</v>
      </c>
      <c r="H188">
        <v>0</v>
      </c>
      <c r="J188" t="s">
        <v>225</v>
      </c>
      <c r="K188" t="s">
        <v>225</v>
      </c>
      <c r="L188">
        <v>5</v>
      </c>
      <c r="M188">
        <v>5</v>
      </c>
      <c r="N188">
        <v>5</v>
      </c>
      <c r="O188">
        <v>5</v>
      </c>
      <c r="Q188">
        <v>1</v>
      </c>
      <c r="R188">
        <v>12</v>
      </c>
      <c r="S188">
        <v>2.5000000000000001E-2</v>
      </c>
      <c r="T188">
        <v>0</v>
      </c>
      <c r="V188" t="s">
        <v>225</v>
      </c>
    </row>
    <row r="189" spans="1:22">
      <c r="A189" s="81">
        <v>850026141603</v>
      </c>
      <c r="B189" t="s">
        <v>437</v>
      </c>
      <c r="C189" s="83">
        <v>1480</v>
      </c>
      <c r="D189" t="s">
        <v>238</v>
      </c>
      <c r="E189" s="82">
        <v>45995</v>
      </c>
      <c r="F189">
        <v>0</v>
      </c>
      <c r="G189" t="s">
        <v>251</v>
      </c>
      <c r="H189">
        <v>0</v>
      </c>
      <c r="J189" t="s">
        <v>225</v>
      </c>
      <c r="K189" t="s">
        <v>225</v>
      </c>
      <c r="L189">
        <v>5</v>
      </c>
      <c r="M189">
        <v>5</v>
      </c>
      <c r="N189">
        <v>5</v>
      </c>
      <c r="O189">
        <v>5</v>
      </c>
      <c r="Q189">
        <v>1</v>
      </c>
      <c r="R189">
        <v>12</v>
      </c>
      <c r="S189">
        <v>3.5999999999999997E-2</v>
      </c>
      <c r="T189">
        <v>0</v>
      </c>
      <c r="V189" t="s">
        <v>225</v>
      </c>
    </row>
    <row r="190" spans="1:22">
      <c r="A190" s="81">
        <v>850026141610</v>
      </c>
      <c r="B190" t="s">
        <v>438</v>
      </c>
      <c r="C190" s="83">
        <v>5468</v>
      </c>
      <c r="D190" t="s">
        <v>238</v>
      </c>
      <c r="E190" s="82">
        <v>45834</v>
      </c>
      <c r="F190">
        <v>0</v>
      </c>
      <c r="G190" t="s">
        <v>251</v>
      </c>
      <c r="H190">
        <v>0</v>
      </c>
      <c r="J190" t="s">
        <v>225</v>
      </c>
      <c r="K190" t="s">
        <v>225</v>
      </c>
      <c r="L190">
        <v>5</v>
      </c>
      <c r="M190">
        <v>5</v>
      </c>
      <c r="N190">
        <v>5</v>
      </c>
      <c r="O190">
        <v>5</v>
      </c>
      <c r="Q190">
        <v>0</v>
      </c>
      <c r="R190">
        <v>12</v>
      </c>
      <c r="S190">
        <v>2.5000000000000001E-2</v>
      </c>
      <c r="T190">
        <v>0</v>
      </c>
      <c r="V190" t="s">
        <v>225</v>
      </c>
    </row>
    <row r="191" spans="1:22">
      <c r="A191" s="81" t="s">
        <v>439</v>
      </c>
      <c r="B191" t="s">
        <v>440</v>
      </c>
      <c r="C191">
        <v>0</v>
      </c>
      <c r="D191" t="s">
        <v>441</v>
      </c>
      <c r="E191" s="82">
        <v>44792</v>
      </c>
      <c r="F191">
        <v>0</v>
      </c>
      <c r="G191" t="s">
        <v>276</v>
      </c>
      <c r="H191">
        <v>0</v>
      </c>
      <c r="J191" t="s">
        <v>225</v>
      </c>
      <c r="K191" t="s">
        <v>225</v>
      </c>
      <c r="Q191">
        <v>0</v>
      </c>
      <c r="R191">
        <v>0</v>
      </c>
      <c r="S191">
        <v>0</v>
      </c>
      <c r="T191">
        <v>0</v>
      </c>
      <c r="V191" t="s">
        <v>225</v>
      </c>
    </row>
    <row r="192" spans="1:22">
      <c r="A192" s="81">
        <v>850026141627</v>
      </c>
      <c r="B192" t="s">
        <v>442</v>
      </c>
      <c r="C192" s="83">
        <v>8554</v>
      </c>
      <c r="D192" t="s">
        <v>238</v>
      </c>
      <c r="E192" s="82">
        <v>45856</v>
      </c>
      <c r="F192">
        <v>0</v>
      </c>
      <c r="G192" t="s">
        <v>251</v>
      </c>
      <c r="H192">
        <v>0</v>
      </c>
      <c r="J192" t="s">
        <v>225</v>
      </c>
      <c r="K192" t="s">
        <v>225</v>
      </c>
      <c r="L192">
        <v>5</v>
      </c>
      <c r="M192">
        <v>5</v>
      </c>
      <c r="N192">
        <v>5</v>
      </c>
      <c r="O192">
        <v>5</v>
      </c>
      <c r="Q192">
        <v>0</v>
      </c>
      <c r="R192">
        <v>12</v>
      </c>
      <c r="S192">
        <v>2.5000000000000001E-2</v>
      </c>
      <c r="T192">
        <v>0</v>
      </c>
      <c r="V192" t="s">
        <v>225</v>
      </c>
    </row>
    <row r="193" spans="1:22">
      <c r="A193" s="81" t="s">
        <v>443</v>
      </c>
      <c r="B193" t="s">
        <v>444</v>
      </c>
      <c r="C193">
        <v>0</v>
      </c>
      <c r="D193" t="s">
        <v>441</v>
      </c>
      <c r="E193" s="82">
        <v>44873</v>
      </c>
      <c r="F193">
        <v>0</v>
      </c>
      <c r="G193" t="s">
        <v>276</v>
      </c>
      <c r="H193">
        <v>0</v>
      </c>
      <c r="J193" t="s">
        <v>225</v>
      </c>
      <c r="K193" t="s">
        <v>225</v>
      </c>
      <c r="Q193">
        <v>0</v>
      </c>
      <c r="R193">
        <v>0</v>
      </c>
      <c r="S193">
        <v>0</v>
      </c>
      <c r="T193">
        <v>0</v>
      </c>
      <c r="V193" t="s">
        <v>225</v>
      </c>
    </row>
    <row r="194" spans="1:22">
      <c r="A194" s="81">
        <v>850026141634</v>
      </c>
      <c r="B194" t="s">
        <v>445</v>
      </c>
      <c r="C194" s="83">
        <v>2069</v>
      </c>
      <c r="D194" t="s">
        <v>250</v>
      </c>
      <c r="E194" s="82">
        <v>46087</v>
      </c>
      <c r="F194">
        <v>5</v>
      </c>
      <c r="G194" t="s">
        <v>251</v>
      </c>
      <c r="H194">
        <v>0</v>
      </c>
      <c r="J194" t="s">
        <v>225</v>
      </c>
      <c r="K194" t="s">
        <v>225</v>
      </c>
      <c r="L194">
        <v>5</v>
      </c>
      <c r="M194">
        <v>5</v>
      </c>
      <c r="N194">
        <v>5</v>
      </c>
      <c r="O194">
        <v>5</v>
      </c>
      <c r="Q194">
        <v>0</v>
      </c>
      <c r="R194">
        <v>12</v>
      </c>
      <c r="S194">
        <v>2.5000000000000001E-2</v>
      </c>
      <c r="T194">
        <v>0</v>
      </c>
      <c r="V194" t="s">
        <v>225</v>
      </c>
    </row>
    <row r="195" spans="1:22">
      <c r="A195" s="81" t="s">
        <v>446</v>
      </c>
      <c r="B195" t="s">
        <v>447</v>
      </c>
      <c r="C195">
        <v>0</v>
      </c>
      <c r="D195" t="s">
        <v>441</v>
      </c>
      <c r="E195" s="82">
        <v>44792</v>
      </c>
      <c r="F195">
        <v>0</v>
      </c>
      <c r="G195" t="s">
        <v>276</v>
      </c>
      <c r="H195" s="83">
        <v>9534</v>
      </c>
      <c r="J195" t="s">
        <v>225</v>
      </c>
      <c r="K195" t="s">
        <v>225</v>
      </c>
      <c r="Q195">
        <v>0</v>
      </c>
      <c r="R195">
        <v>0</v>
      </c>
      <c r="S195">
        <v>0</v>
      </c>
      <c r="T195">
        <v>0</v>
      </c>
      <c r="V195" t="s">
        <v>225</v>
      </c>
    </row>
    <row r="196" spans="1:22">
      <c r="A196" s="81">
        <v>850026141641</v>
      </c>
      <c r="B196" t="s">
        <v>448</v>
      </c>
      <c r="C196" s="83">
        <v>8810</v>
      </c>
      <c r="D196" t="s">
        <v>238</v>
      </c>
      <c r="E196" s="82">
        <v>45782</v>
      </c>
      <c r="F196">
        <v>0</v>
      </c>
      <c r="G196" t="s">
        <v>251</v>
      </c>
      <c r="H196">
        <v>0</v>
      </c>
      <c r="J196" t="s">
        <v>225</v>
      </c>
      <c r="K196" t="s">
        <v>225</v>
      </c>
      <c r="L196">
        <v>5</v>
      </c>
      <c r="M196">
        <v>5</v>
      </c>
      <c r="N196">
        <v>5</v>
      </c>
      <c r="O196">
        <v>5</v>
      </c>
      <c r="Q196">
        <v>0</v>
      </c>
      <c r="R196">
        <v>12</v>
      </c>
      <c r="S196">
        <v>2.5000000000000001E-2</v>
      </c>
      <c r="T196">
        <v>0</v>
      </c>
      <c r="V196" t="s">
        <v>225</v>
      </c>
    </row>
    <row r="197" spans="1:22">
      <c r="A197" s="81" t="s">
        <v>449</v>
      </c>
      <c r="B197" t="s">
        <v>450</v>
      </c>
      <c r="C197">
        <v>0</v>
      </c>
      <c r="D197" t="s">
        <v>441</v>
      </c>
      <c r="E197" s="82">
        <v>44792</v>
      </c>
      <c r="F197">
        <v>0</v>
      </c>
      <c r="G197" t="s">
        <v>276</v>
      </c>
      <c r="H197">
        <v>0</v>
      </c>
      <c r="J197" t="s">
        <v>225</v>
      </c>
      <c r="K197" t="s">
        <v>225</v>
      </c>
      <c r="Q197">
        <v>0</v>
      </c>
      <c r="R197">
        <v>0</v>
      </c>
      <c r="S197">
        <v>0</v>
      </c>
      <c r="T197">
        <v>0</v>
      </c>
      <c r="V197" t="s">
        <v>225</v>
      </c>
    </row>
    <row r="198" spans="1:22">
      <c r="A198" s="81">
        <v>850026141658</v>
      </c>
      <c r="B198" t="s">
        <v>451</v>
      </c>
      <c r="C198" s="83">
        <v>8336</v>
      </c>
      <c r="D198" t="s">
        <v>238</v>
      </c>
      <c r="E198" s="82">
        <v>46009</v>
      </c>
      <c r="F198">
        <v>0</v>
      </c>
      <c r="G198" t="s">
        <v>251</v>
      </c>
      <c r="H198">
        <v>0</v>
      </c>
      <c r="J198" t="s">
        <v>225</v>
      </c>
      <c r="K198" t="s">
        <v>225</v>
      </c>
      <c r="L198">
        <v>5</v>
      </c>
      <c r="M198">
        <v>5</v>
      </c>
      <c r="N198">
        <v>5</v>
      </c>
      <c r="O198">
        <v>5</v>
      </c>
      <c r="Q198">
        <v>0</v>
      </c>
      <c r="R198">
        <v>12</v>
      </c>
      <c r="S198">
        <v>2.5000000000000001E-2</v>
      </c>
      <c r="T198">
        <v>0</v>
      </c>
      <c r="V198" t="s">
        <v>225</v>
      </c>
    </row>
    <row r="199" spans="1:22">
      <c r="A199" s="81" t="s">
        <v>452</v>
      </c>
      <c r="B199" t="s">
        <v>453</v>
      </c>
      <c r="C199">
        <v>0</v>
      </c>
      <c r="D199" t="s">
        <v>441</v>
      </c>
      <c r="E199" s="82">
        <v>44792</v>
      </c>
      <c r="F199">
        <v>0</v>
      </c>
      <c r="G199" t="s">
        <v>276</v>
      </c>
      <c r="H199">
        <v>0</v>
      </c>
      <c r="J199" t="s">
        <v>225</v>
      </c>
      <c r="K199" t="s">
        <v>225</v>
      </c>
      <c r="Q199">
        <v>0</v>
      </c>
      <c r="R199">
        <v>0</v>
      </c>
      <c r="S199">
        <v>0</v>
      </c>
      <c r="T199">
        <v>0</v>
      </c>
      <c r="V199" t="s">
        <v>225</v>
      </c>
    </row>
    <row r="200" spans="1:22">
      <c r="A200" s="81">
        <v>850026141665</v>
      </c>
      <c r="B200" t="s">
        <v>454</v>
      </c>
      <c r="C200" s="83">
        <v>1862</v>
      </c>
      <c r="D200" t="s">
        <v>250</v>
      </c>
      <c r="E200" s="82">
        <v>46022</v>
      </c>
      <c r="F200">
        <v>4</v>
      </c>
      <c r="G200" t="s">
        <v>251</v>
      </c>
      <c r="H200">
        <v>0</v>
      </c>
      <c r="J200" t="s">
        <v>225</v>
      </c>
      <c r="K200" t="s">
        <v>225</v>
      </c>
      <c r="L200">
        <v>5</v>
      </c>
      <c r="M200">
        <v>5</v>
      </c>
      <c r="N200">
        <v>5</v>
      </c>
      <c r="O200">
        <v>5</v>
      </c>
      <c r="Q200">
        <v>0</v>
      </c>
      <c r="R200">
        <v>12</v>
      </c>
      <c r="S200">
        <v>2.5000000000000001E-2</v>
      </c>
      <c r="T200">
        <v>0</v>
      </c>
      <c r="V200" t="s">
        <v>225</v>
      </c>
    </row>
    <row r="201" spans="1:22">
      <c r="A201" s="81" t="s">
        <v>455</v>
      </c>
      <c r="B201" t="s">
        <v>456</v>
      </c>
      <c r="C201">
        <v>0</v>
      </c>
      <c r="D201" t="s">
        <v>441</v>
      </c>
      <c r="E201" s="82">
        <v>44792</v>
      </c>
      <c r="F201">
        <v>0</v>
      </c>
      <c r="G201" t="s">
        <v>276</v>
      </c>
      <c r="H201">
        <v>0</v>
      </c>
      <c r="J201" t="s">
        <v>225</v>
      </c>
      <c r="K201" t="s">
        <v>225</v>
      </c>
      <c r="Q201">
        <v>0</v>
      </c>
      <c r="R201">
        <v>0</v>
      </c>
      <c r="S201">
        <v>0</v>
      </c>
      <c r="T201">
        <v>0</v>
      </c>
      <c r="V201" t="s">
        <v>225</v>
      </c>
    </row>
    <row r="202" spans="1:22">
      <c r="A202" s="81">
        <v>850026141672</v>
      </c>
      <c r="B202" t="s">
        <v>457</v>
      </c>
      <c r="C202" s="83">
        <v>8584</v>
      </c>
      <c r="D202" t="s">
        <v>238</v>
      </c>
      <c r="E202" s="82">
        <v>45860</v>
      </c>
      <c r="F202">
        <v>0</v>
      </c>
      <c r="G202" t="s">
        <v>251</v>
      </c>
      <c r="H202">
        <v>0</v>
      </c>
      <c r="J202" t="s">
        <v>225</v>
      </c>
      <c r="K202" t="s">
        <v>225</v>
      </c>
      <c r="L202">
        <v>5</v>
      </c>
      <c r="M202">
        <v>5</v>
      </c>
      <c r="N202">
        <v>5</v>
      </c>
      <c r="O202">
        <v>5</v>
      </c>
      <c r="Q202">
        <v>0</v>
      </c>
      <c r="R202">
        <v>12</v>
      </c>
      <c r="S202">
        <v>2.5000000000000001E-2</v>
      </c>
      <c r="T202">
        <v>0</v>
      </c>
      <c r="V202" t="s">
        <v>225</v>
      </c>
    </row>
    <row r="203" spans="1:22">
      <c r="A203" s="81" t="s">
        <v>458</v>
      </c>
      <c r="B203" t="s">
        <v>459</v>
      </c>
      <c r="C203">
        <v>0</v>
      </c>
      <c r="D203" t="s">
        <v>441</v>
      </c>
      <c r="E203" s="82">
        <v>44792</v>
      </c>
      <c r="F203">
        <v>0</v>
      </c>
      <c r="G203" t="s">
        <v>276</v>
      </c>
      <c r="H203">
        <v>0</v>
      </c>
      <c r="J203" t="s">
        <v>225</v>
      </c>
      <c r="K203" t="s">
        <v>225</v>
      </c>
      <c r="Q203">
        <v>0</v>
      </c>
      <c r="R203">
        <v>0</v>
      </c>
      <c r="S203">
        <v>0</v>
      </c>
      <c r="T203">
        <v>0</v>
      </c>
      <c r="V203" t="s">
        <v>225</v>
      </c>
    </row>
    <row r="204" spans="1:22">
      <c r="A204" s="81">
        <v>850026141689</v>
      </c>
      <c r="B204" t="s">
        <v>460</v>
      </c>
      <c r="C204" s="83">
        <v>7173</v>
      </c>
      <c r="D204" t="s">
        <v>238</v>
      </c>
      <c r="E204" s="82">
        <v>44946</v>
      </c>
      <c r="F204">
        <v>0</v>
      </c>
      <c r="G204" t="s">
        <v>251</v>
      </c>
      <c r="H204">
        <v>0</v>
      </c>
      <c r="J204" t="s">
        <v>225</v>
      </c>
      <c r="K204" t="s">
        <v>225</v>
      </c>
      <c r="L204">
        <v>5</v>
      </c>
      <c r="M204">
        <v>5</v>
      </c>
      <c r="N204">
        <v>5</v>
      </c>
      <c r="O204">
        <v>5</v>
      </c>
      <c r="Q204">
        <v>0</v>
      </c>
      <c r="R204">
        <v>12</v>
      </c>
      <c r="S204">
        <v>2.5000000000000001E-2</v>
      </c>
      <c r="T204">
        <v>0</v>
      </c>
      <c r="V204" t="s">
        <v>225</v>
      </c>
    </row>
    <row r="205" spans="1:22">
      <c r="A205" s="81" t="s">
        <v>461</v>
      </c>
      <c r="B205" t="s">
        <v>462</v>
      </c>
      <c r="C205">
        <v>0</v>
      </c>
      <c r="D205" t="s">
        <v>441</v>
      </c>
      <c r="E205" s="82">
        <v>44792</v>
      </c>
      <c r="F205">
        <v>0</v>
      </c>
      <c r="G205" t="s">
        <v>276</v>
      </c>
      <c r="H205">
        <v>0</v>
      </c>
      <c r="J205" t="s">
        <v>225</v>
      </c>
      <c r="K205" t="s">
        <v>225</v>
      </c>
      <c r="Q205">
        <v>0</v>
      </c>
      <c r="R205">
        <v>0</v>
      </c>
      <c r="S205">
        <v>0</v>
      </c>
      <c r="T205">
        <v>0</v>
      </c>
      <c r="V205" t="s">
        <v>225</v>
      </c>
    </row>
    <row r="206" spans="1:22">
      <c r="A206" s="81">
        <v>850026141696</v>
      </c>
      <c r="B206" t="s">
        <v>463</v>
      </c>
      <c r="C206" s="83">
        <v>2988</v>
      </c>
      <c r="D206" t="s">
        <v>250</v>
      </c>
      <c r="E206" s="82">
        <v>46029</v>
      </c>
      <c r="F206">
        <v>0</v>
      </c>
      <c r="G206" t="s">
        <v>251</v>
      </c>
      <c r="H206">
        <v>0</v>
      </c>
      <c r="J206" t="s">
        <v>225</v>
      </c>
      <c r="K206" t="s">
        <v>225</v>
      </c>
      <c r="L206">
        <v>5</v>
      </c>
      <c r="M206">
        <v>5</v>
      </c>
      <c r="N206">
        <v>5</v>
      </c>
      <c r="O206">
        <v>5</v>
      </c>
      <c r="Q206">
        <v>0</v>
      </c>
      <c r="R206">
        <v>12</v>
      </c>
      <c r="S206">
        <v>2.5000000000000001E-2</v>
      </c>
      <c r="T206">
        <v>0</v>
      </c>
      <c r="V206" t="s">
        <v>225</v>
      </c>
    </row>
    <row r="207" spans="1:22">
      <c r="A207" s="81" t="s">
        <v>464</v>
      </c>
      <c r="B207" t="s">
        <v>465</v>
      </c>
      <c r="C207">
        <v>0</v>
      </c>
      <c r="D207" t="s">
        <v>441</v>
      </c>
      <c r="E207" s="82">
        <v>44773</v>
      </c>
      <c r="F207">
        <v>0</v>
      </c>
      <c r="G207" t="s">
        <v>276</v>
      </c>
      <c r="H207" s="83">
        <v>9204</v>
      </c>
      <c r="J207" t="s">
        <v>225</v>
      </c>
      <c r="K207" t="s">
        <v>225</v>
      </c>
      <c r="Q207">
        <v>0</v>
      </c>
      <c r="R207">
        <v>0</v>
      </c>
      <c r="S207">
        <v>0</v>
      </c>
      <c r="T207">
        <v>0</v>
      </c>
      <c r="V207" t="s">
        <v>225</v>
      </c>
    </row>
    <row r="208" spans="1:22">
      <c r="A208" s="81">
        <v>850026141702</v>
      </c>
      <c r="B208" t="s">
        <v>466</v>
      </c>
      <c r="C208" s="83">
        <v>7527</v>
      </c>
      <c r="D208" t="s">
        <v>238</v>
      </c>
      <c r="E208" s="82">
        <v>45856</v>
      </c>
      <c r="F208">
        <v>0</v>
      </c>
      <c r="G208" t="s">
        <v>251</v>
      </c>
      <c r="H208">
        <v>0</v>
      </c>
      <c r="J208" t="s">
        <v>225</v>
      </c>
      <c r="K208" t="s">
        <v>225</v>
      </c>
      <c r="L208">
        <v>5</v>
      </c>
      <c r="M208">
        <v>5</v>
      </c>
      <c r="N208">
        <v>5</v>
      </c>
      <c r="O208">
        <v>5</v>
      </c>
      <c r="Q208">
        <v>0</v>
      </c>
      <c r="R208">
        <v>12</v>
      </c>
      <c r="S208">
        <v>2.5000000000000001E-2</v>
      </c>
      <c r="T208">
        <v>0</v>
      </c>
      <c r="V208" t="s">
        <v>225</v>
      </c>
    </row>
    <row r="209" spans="1:22">
      <c r="A209" s="81" t="s">
        <v>467</v>
      </c>
      <c r="B209" t="s">
        <v>468</v>
      </c>
      <c r="C209">
        <v>0</v>
      </c>
      <c r="D209" t="s">
        <v>441</v>
      </c>
      <c r="E209" s="82">
        <v>44792</v>
      </c>
      <c r="F209">
        <v>0</v>
      </c>
      <c r="G209" t="s">
        <v>276</v>
      </c>
      <c r="H209">
        <v>0</v>
      </c>
      <c r="J209" t="s">
        <v>225</v>
      </c>
      <c r="K209" t="s">
        <v>225</v>
      </c>
      <c r="Q209">
        <v>0</v>
      </c>
      <c r="R209">
        <v>0</v>
      </c>
      <c r="S209">
        <v>0</v>
      </c>
      <c r="T209">
        <v>0</v>
      </c>
      <c r="V209" t="s">
        <v>225</v>
      </c>
    </row>
    <row r="210" spans="1:22">
      <c r="A210" s="81">
        <v>850026141719</v>
      </c>
      <c r="B210" t="s">
        <v>469</v>
      </c>
      <c r="C210" s="83">
        <v>9276</v>
      </c>
      <c r="D210" t="s">
        <v>238</v>
      </c>
      <c r="E210" s="82">
        <v>44773</v>
      </c>
      <c r="F210">
        <v>0</v>
      </c>
      <c r="G210" t="s">
        <v>251</v>
      </c>
      <c r="H210">
        <v>0</v>
      </c>
      <c r="J210" t="s">
        <v>225</v>
      </c>
      <c r="K210" t="s">
        <v>225</v>
      </c>
      <c r="L210">
        <v>5</v>
      </c>
      <c r="M210">
        <v>5</v>
      </c>
      <c r="N210">
        <v>5</v>
      </c>
      <c r="O210">
        <v>5</v>
      </c>
      <c r="Q210">
        <v>0</v>
      </c>
      <c r="R210">
        <v>12</v>
      </c>
      <c r="S210">
        <v>2.5000000000000001E-2</v>
      </c>
      <c r="T210">
        <v>0</v>
      </c>
      <c r="V210" t="s">
        <v>225</v>
      </c>
    </row>
    <row r="211" spans="1:22">
      <c r="A211" s="81" t="s">
        <v>470</v>
      </c>
      <c r="B211" t="s">
        <v>471</v>
      </c>
      <c r="C211">
        <v>0</v>
      </c>
      <c r="D211" t="s">
        <v>441</v>
      </c>
      <c r="E211" s="82">
        <v>44792</v>
      </c>
      <c r="F211">
        <v>0</v>
      </c>
      <c r="G211" t="s">
        <v>276</v>
      </c>
      <c r="H211">
        <v>0</v>
      </c>
      <c r="J211" t="s">
        <v>225</v>
      </c>
      <c r="K211" t="s">
        <v>225</v>
      </c>
      <c r="Q211">
        <v>0</v>
      </c>
      <c r="R211">
        <v>0</v>
      </c>
      <c r="S211">
        <v>0</v>
      </c>
      <c r="T211">
        <v>0</v>
      </c>
      <c r="V211" t="s">
        <v>225</v>
      </c>
    </row>
    <row r="212" spans="1:22">
      <c r="A212" s="81">
        <v>850026141726</v>
      </c>
      <c r="B212" t="s">
        <v>472</v>
      </c>
      <c r="C212" s="83">
        <v>8676</v>
      </c>
      <c r="D212" t="s">
        <v>238</v>
      </c>
      <c r="E212" s="82">
        <v>46022</v>
      </c>
      <c r="F212">
        <v>0</v>
      </c>
      <c r="G212" t="s">
        <v>251</v>
      </c>
      <c r="H212">
        <v>0</v>
      </c>
      <c r="J212" t="s">
        <v>225</v>
      </c>
      <c r="K212" t="s">
        <v>225</v>
      </c>
      <c r="L212">
        <v>5</v>
      </c>
      <c r="M212">
        <v>5</v>
      </c>
      <c r="N212">
        <v>5</v>
      </c>
      <c r="O212">
        <v>5</v>
      </c>
      <c r="Q212">
        <v>0</v>
      </c>
      <c r="R212">
        <v>12</v>
      </c>
      <c r="S212">
        <v>2.5000000000000001E-2</v>
      </c>
      <c r="T212">
        <v>0</v>
      </c>
      <c r="V212" t="s">
        <v>225</v>
      </c>
    </row>
    <row r="213" spans="1:22">
      <c r="A213" s="81" t="s">
        <v>473</v>
      </c>
      <c r="B213" t="s">
        <v>474</v>
      </c>
      <c r="C213">
        <v>0</v>
      </c>
      <c r="D213" t="s">
        <v>441</v>
      </c>
      <c r="E213" s="82">
        <v>44792</v>
      </c>
      <c r="F213">
        <v>0</v>
      </c>
      <c r="G213" t="s">
        <v>276</v>
      </c>
      <c r="H213">
        <v>0</v>
      </c>
      <c r="J213" t="s">
        <v>225</v>
      </c>
      <c r="K213" t="s">
        <v>225</v>
      </c>
      <c r="Q213">
        <v>0</v>
      </c>
      <c r="R213">
        <v>0</v>
      </c>
      <c r="S213">
        <v>0</v>
      </c>
      <c r="T213">
        <v>0</v>
      </c>
      <c r="V213" t="s">
        <v>225</v>
      </c>
    </row>
    <row r="214" spans="1:22">
      <c r="A214" s="81">
        <v>850026141733</v>
      </c>
      <c r="B214" t="s">
        <v>475</v>
      </c>
      <c r="C214" s="83">
        <v>8689</v>
      </c>
      <c r="D214" t="s">
        <v>238</v>
      </c>
      <c r="E214" s="82">
        <v>46009</v>
      </c>
      <c r="F214">
        <v>0</v>
      </c>
      <c r="G214" t="s">
        <v>251</v>
      </c>
      <c r="H214">
        <v>0</v>
      </c>
      <c r="J214" t="s">
        <v>225</v>
      </c>
      <c r="K214" t="s">
        <v>225</v>
      </c>
      <c r="L214">
        <v>5</v>
      </c>
      <c r="M214">
        <v>5</v>
      </c>
      <c r="N214">
        <v>5</v>
      </c>
      <c r="O214">
        <v>5</v>
      </c>
      <c r="Q214">
        <v>0</v>
      </c>
      <c r="R214">
        <v>12</v>
      </c>
      <c r="S214">
        <v>2.5000000000000001E-2</v>
      </c>
      <c r="T214">
        <v>0</v>
      </c>
      <c r="V214" t="s">
        <v>225</v>
      </c>
    </row>
    <row r="215" spans="1:22">
      <c r="A215" s="81" t="s">
        <v>476</v>
      </c>
      <c r="B215" t="s">
        <v>477</v>
      </c>
      <c r="C215">
        <v>0</v>
      </c>
      <c r="D215" t="s">
        <v>441</v>
      </c>
      <c r="E215" s="82">
        <v>44792</v>
      </c>
      <c r="F215">
        <v>0</v>
      </c>
      <c r="G215" t="s">
        <v>276</v>
      </c>
      <c r="H215">
        <v>0</v>
      </c>
      <c r="J215" t="s">
        <v>225</v>
      </c>
      <c r="K215" t="s">
        <v>225</v>
      </c>
      <c r="Q215">
        <v>0</v>
      </c>
      <c r="R215">
        <v>0</v>
      </c>
      <c r="S215">
        <v>0</v>
      </c>
      <c r="T215">
        <v>0</v>
      </c>
      <c r="V215" t="s">
        <v>225</v>
      </c>
    </row>
    <row r="216" spans="1:22">
      <c r="A216" s="81">
        <v>850026141740</v>
      </c>
      <c r="B216" t="s">
        <v>478</v>
      </c>
      <c r="C216" s="83">
        <v>8294</v>
      </c>
      <c r="D216" t="s">
        <v>238</v>
      </c>
      <c r="E216" s="82">
        <v>46022</v>
      </c>
      <c r="F216">
        <v>0</v>
      </c>
      <c r="G216" t="s">
        <v>251</v>
      </c>
      <c r="H216">
        <v>0</v>
      </c>
      <c r="J216" t="s">
        <v>225</v>
      </c>
      <c r="K216" t="s">
        <v>225</v>
      </c>
      <c r="L216">
        <v>5</v>
      </c>
      <c r="M216">
        <v>5</v>
      </c>
      <c r="N216">
        <v>5</v>
      </c>
      <c r="O216">
        <v>5</v>
      </c>
      <c r="Q216">
        <v>0</v>
      </c>
      <c r="R216">
        <v>12</v>
      </c>
      <c r="S216">
        <v>2.5000000000000001E-2</v>
      </c>
      <c r="T216">
        <v>0</v>
      </c>
      <c r="V216" t="s">
        <v>225</v>
      </c>
    </row>
    <row r="217" spans="1:22">
      <c r="A217" s="81" t="s">
        <v>479</v>
      </c>
      <c r="B217" t="s">
        <v>480</v>
      </c>
      <c r="C217">
        <v>0</v>
      </c>
      <c r="D217" t="s">
        <v>441</v>
      </c>
      <c r="E217" s="82">
        <v>44792</v>
      </c>
      <c r="F217">
        <v>0</v>
      </c>
      <c r="G217" t="s">
        <v>276</v>
      </c>
      <c r="H217">
        <v>0</v>
      </c>
      <c r="J217" t="s">
        <v>225</v>
      </c>
      <c r="K217" t="s">
        <v>225</v>
      </c>
      <c r="Q217">
        <v>0</v>
      </c>
      <c r="R217">
        <v>0</v>
      </c>
      <c r="S217">
        <v>0</v>
      </c>
      <c r="T217">
        <v>0</v>
      </c>
      <c r="V217" t="s">
        <v>225</v>
      </c>
    </row>
    <row r="218" spans="1:22">
      <c r="A218" s="81">
        <v>850026141757</v>
      </c>
      <c r="B218" t="s">
        <v>481</v>
      </c>
      <c r="C218" s="83">
        <v>2626</v>
      </c>
      <c r="D218" t="s">
        <v>250</v>
      </c>
      <c r="E218" s="82">
        <v>46097</v>
      </c>
      <c r="F218">
        <v>15</v>
      </c>
      <c r="G218" t="s">
        <v>251</v>
      </c>
      <c r="H218">
        <v>0</v>
      </c>
      <c r="J218" t="s">
        <v>225</v>
      </c>
      <c r="K218" t="s">
        <v>225</v>
      </c>
      <c r="L218">
        <v>5</v>
      </c>
      <c r="M218">
        <v>5</v>
      </c>
      <c r="N218">
        <v>5</v>
      </c>
      <c r="O218">
        <v>5</v>
      </c>
      <c r="Q218">
        <v>0</v>
      </c>
      <c r="R218">
        <v>12</v>
      </c>
      <c r="S218">
        <v>2.5000000000000001E-2</v>
      </c>
      <c r="T218">
        <v>0</v>
      </c>
      <c r="V218" t="s">
        <v>225</v>
      </c>
    </row>
    <row r="219" spans="1:22">
      <c r="A219" s="81" t="s">
        <v>482</v>
      </c>
      <c r="B219" t="s">
        <v>483</v>
      </c>
      <c r="C219">
        <v>0</v>
      </c>
      <c r="D219" t="s">
        <v>441</v>
      </c>
      <c r="E219" s="82">
        <v>45954</v>
      </c>
      <c r="F219">
        <v>0</v>
      </c>
      <c r="G219" t="s">
        <v>276</v>
      </c>
      <c r="H219">
        <v>0</v>
      </c>
      <c r="J219" t="s">
        <v>225</v>
      </c>
      <c r="K219" t="s">
        <v>225</v>
      </c>
      <c r="Q219">
        <v>0</v>
      </c>
      <c r="R219">
        <v>0</v>
      </c>
      <c r="S219">
        <v>0</v>
      </c>
      <c r="T219">
        <v>0</v>
      </c>
      <c r="V219" t="s">
        <v>225</v>
      </c>
    </row>
    <row r="220" spans="1:22">
      <c r="A220" s="81">
        <v>850026141764</v>
      </c>
      <c r="B220" t="s">
        <v>484</v>
      </c>
      <c r="C220" s="83">
        <v>8435</v>
      </c>
      <c r="D220" t="s">
        <v>238</v>
      </c>
      <c r="E220" s="82">
        <v>46071</v>
      </c>
      <c r="F220">
        <v>0</v>
      </c>
      <c r="G220" t="s">
        <v>251</v>
      </c>
      <c r="H220">
        <v>0</v>
      </c>
      <c r="J220" t="s">
        <v>225</v>
      </c>
      <c r="K220" t="s">
        <v>225</v>
      </c>
      <c r="L220">
        <v>5</v>
      </c>
      <c r="M220">
        <v>5</v>
      </c>
      <c r="N220">
        <v>5</v>
      </c>
      <c r="O220">
        <v>5</v>
      </c>
      <c r="Q220">
        <v>0</v>
      </c>
      <c r="R220">
        <v>12</v>
      </c>
      <c r="S220">
        <v>2.5000000000000001E-2</v>
      </c>
      <c r="T220">
        <v>0</v>
      </c>
      <c r="V220" t="s">
        <v>225</v>
      </c>
    </row>
    <row r="221" spans="1:22">
      <c r="A221" s="81" t="s">
        <v>485</v>
      </c>
      <c r="B221" t="s">
        <v>486</v>
      </c>
      <c r="C221">
        <v>0</v>
      </c>
      <c r="D221" t="s">
        <v>441</v>
      </c>
      <c r="E221" s="82">
        <v>44792</v>
      </c>
      <c r="F221">
        <v>0</v>
      </c>
      <c r="G221" t="s">
        <v>276</v>
      </c>
      <c r="H221">
        <v>0</v>
      </c>
      <c r="J221" t="s">
        <v>225</v>
      </c>
      <c r="K221" t="s">
        <v>225</v>
      </c>
      <c r="Q221">
        <v>0</v>
      </c>
      <c r="R221">
        <v>0</v>
      </c>
      <c r="S221">
        <v>0</v>
      </c>
      <c r="T221">
        <v>0</v>
      </c>
      <c r="V221" t="s">
        <v>225</v>
      </c>
    </row>
    <row r="222" spans="1:22">
      <c r="A222" s="81">
        <v>850026141771</v>
      </c>
      <c r="B222" t="s">
        <v>487</v>
      </c>
      <c r="C222" s="83">
        <v>7100</v>
      </c>
      <c r="D222" t="s">
        <v>238</v>
      </c>
      <c r="E222" s="82">
        <v>45826</v>
      </c>
      <c r="F222">
        <v>0</v>
      </c>
      <c r="G222" t="s">
        <v>251</v>
      </c>
      <c r="H222">
        <v>0</v>
      </c>
      <c r="J222" t="s">
        <v>225</v>
      </c>
      <c r="K222" t="s">
        <v>225</v>
      </c>
      <c r="L222">
        <v>5</v>
      </c>
      <c r="M222">
        <v>5</v>
      </c>
      <c r="N222">
        <v>5</v>
      </c>
      <c r="O222">
        <v>5</v>
      </c>
      <c r="Q222">
        <v>0</v>
      </c>
      <c r="R222">
        <v>12</v>
      </c>
      <c r="S222">
        <v>2.5000000000000001E-2</v>
      </c>
      <c r="T222">
        <v>0</v>
      </c>
      <c r="V222" t="s">
        <v>225</v>
      </c>
    </row>
    <row r="223" spans="1:22">
      <c r="A223" s="81" t="s">
        <v>488</v>
      </c>
      <c r="B223" t="s">
        <v>489</v>
      </c>
      <c r="C223">
        <v>0</v>
      </c>
      <c r="D223" t="s">
        <v>441</v>
      </c>
      <c r="E223" s="82">
        <v>44792</v>
      </c>
      <c r="F223">
        <v>0</v>
      </c>
      <c r="G223" t="s">
        <v>276</v>
      </c>
      <c r="H223">
        <v>0</v>
      </c>
      <c r="J223" t="s">
        <v>225</v>
      </c>
      <c r="K223" t="s">
        <v>225</v>
      </c>
      <c r="Q223">
        <v>0</v>
      </c>
      <c r="R223">
        <v>0</v>
      </c>
      <c r="S223">
        <v>0</v>
      </c>
      <c r="T223">
        <v>0</v>
      </c>
      <c r="V223" t="s">
        <v>225</v>
      </c>
    </row>
    <row r="224" spans="1:22">
      <c r="A224" s="81">
        <v>850026141788</v>
      </c>
      <c r="B224" t="s">
        <v>490</v>
      </c>
      <c r="C224" s="83">
        <v>7725</v>
      </c>
      <c r="D224" t="s">
        <v>238</v>
      </c>
      <c r="E224" s="82">
        <v>46022</v>
      </c>
      <c r="F224">
        <v>0</v>
      </c>
      <c r="G224" t="s">
        <v>251</v>
      </c>
      <c r="H224">
        <v>0</v>
      </c>
      <c r="J224" t="s">
        <v>225</v>
      </c>
      <c r="K224" t="s">
        <v>225</v>
      </c>
      <c r="L224">
        <v>5</v>
      </c>
      <c r="M224">
        <v>5</v>
      </c>
      <c r="N224">
        <v>5</v>
      </c>
      <c r="O224">
        <v>5</v>
      </c>
      <c r="Q224">
        <v>0</v>
      </c>
      <c r="R224">
        <v>12</v>
      </c>
      <c r="S224">
        <v>2.5000000000000001E-2</v>
      </c>
      <c r="T224">
        <v>0</v>
      </c>
      <c r="V224" t="s">
        <v>225</v>
      </c>
    </row>
    <row r="225" spans="1:22">
      <c r="A225" s="81" t="s">
        <v>491</v>
      </c>
      <c r="B225" t="s">
        <v>492</v>
      </c>
      <c r="C225">
        <v>0</v>
      </c>
      <c r="D225" t="s">
        <v>441</v>
      </c>
      <c r="E225" s="82">
        <v>44773</v>
      </c>
      <c r="F225">
        <v>0</v>
      </c>
      <c r="G225" t="s">
        <v>276</v>
      </c>
      <c r="H225">
        <v>0</v>
      </c>
      <c r="J225" t="s">
        <v>225</v>
      </c>
      <c r="K225" t="s">
        <v>225</v>
      </c>
      <c r="Q225">
        <v>0</v>
      </c>
      <c r="R225">
        <v>0</v>
      </c>
      <c r="S225">
        <v>0</v>
      </c>
      <c r="T225">
        <v>0</v>
      </c>
      <c r="V225" t="s">
        <v>225</v>
      </c>
    </row>
    <row r="226" spans="1:22">
      <c r="A226" s="81">
        <v>850026141795</v>
      </c>
      <c r="B226" t="s">
        <v>493</v>
      </c>
      <c r="C226" s="83">
        <v>8742</v>
      </c>
      <c r="D226" t="s">
        <v>238</v>
      </c>
      <c r="E226" s="82">
        <v>46071</v>
      </c>
      <c r="F226">
        <v>0</v>
      </c>
      <c r="G226" t="s">
        <v>251</v>
      </c>
      <c r="H226">
        <v>0</v>
      </c>
      <c r="J226" t="s">
        <v>225</v>
      </c>
      <c r="K226" t="s">
        <v>225</v>
      </c>
      <c r="L226">
        <v>5</v>
      </c>
      <c r="M226">
        <v>5</v>
      </c>
      <c r="N226">
        <v>5</v>
      </c>
      <c r="O226">
        <v>5</v>
      </c>
      <c r="Q226">
        <v>0</v>
      </c>
      <c r="R226">
        <v>12</v>
      </c>
      <c r="S226">
        <v>2.5000000000000001E-2</v>
      </c>
      <c r="T226">
        <v>0</v>
      </c>
      <c r="V226" t="s">
        <v>225</v>
      </c>
    </row>
    <row r="227" spans="1:22">
      <c r="A227" s="81" t="s">
        <v>494</v>
      </c>
      <c r="B227" t="s">
        <v>495</v>
      </c>
      <c r="C227">
        <v>0</v>
      </c>
      <c r="D227" t="s">
        <v>441</v>
      </c>
      <c r="E227" s="82">
        <v>44792</v>
      </c>
      <c r="F227">
        <v>0</v>
      </c>
      <c r="G227" t="s">
        <v>276</v>
      </c>
      <c r="H227">
        <v>0</v>
      </c>
      <c r="J227" t="s">
        <v>225</v>
      </c>
      <c r="K227" t="s">
        <v>225</v>
      </c>
      <c r="Q227">
        <v>0</v>
      </c>
      <c r="R227">
        <v>0</v>
      </c>
      <c r="S227">
        <v>0</v>
      </c>
      <c r="T227">
        <v>0</v>
      </c>
      <c r="V227" t="s">
        <v>225</v>
      </c>
    </row>
    <row r="228" spans="1:22">
      <c r="A228" s="81">
        <v>850026141801</v>
      </c>
      <c r="B228" t="s">
        <v>496</v>
      </c>
      <c r="C228">
        <v>375</v>
      </c>
      <c r="D228" t="s">
        <v>250</v>
      </c>
      <c r="E228" s="82">
        <v>46097</v>
      </c>
      <c r="F228">
        <v>50</v>
      </c>
      <c r="G228" t="s">
        <v>251</v>
      </c>
      <c r="H228">
        <v>0</v>
      </c>
      <c r="J228" t="s">
        <v>225</v>
      </c>
      <c r="K228" t="s">
        <v>225</v>
      </c>
      <c r="L228">
        <v>5</v>
      </c>
      <c r="M228">
        <v>5</v>
      </c>
      <c r="N228">
        <v>5</v>
      </c>
      <c r="O228">
        <v>5</v>
      </c>
      <c r="Q228">
        <v>0</v>
      </c>
      <c r="R228">
        <v>12</v>
      </c>
      <c r="S228">
        <v>2.5000000000000001E-2</v>
      </c>
      <c r="T228">
        <v>0</v>
      </c>
      <c r="V228" t="s">
        <v>225</v>
      </c>
    </row>
    <row r="229" spans="1:22">
      <c r="A229" s="81" t="s">
        <v>497</v>
      </c>
      <c r="B229" t="s">
        <v>498</v>
      </c>
      <c r="C229">
        <v>0</v>
      </c>
      <c r="D229" t="s">
        <v>441</v>
      </c>
      <c r="E229" s="82">
        <v>44792</v>
      </c>
      <c r="F229">
        <v>0</v>
      </c>
      <c r="G229" t="s">
        <v>276</v>
      </c>
      <c r="H229" s="83">
        <v>10200</v>
      </c>
      <c r="J229" t="s">
        <v>225</v>
      </c>
      <c r="K229" t="s">
        <v>225</v>
      </c>
      <c r="Q229">
        <v>0</v>
      </c>
      <c r="R229">
        <v>0</v>
      </c>
      <c r="S229">
        <v>0</v>
      </c>
      <c r="T229">
        <v>0</v>
      </c>
      <c r="V229" t="s">
        <v>225</v>
      </c>
    </row>
    <row r="230" spans="1:22">
      <c r="A230" s="81">
        <v>850026141818</v>
      </c>
      <c r="B230" t="s">
        <v>499</v>
      </c>
      <c r="C230" s="83">
        <v>3150</v>
      </c>
      <c r="D230" t="s">
        <v>238</v>
      </c>
      <c r="E230" s="82">
        <v>45856</v>
      </c>
      <c r="F230">
        <v>0</v>
      </c>
      <c r="G230" t="s">
        <v>251</v>
      </c>
      <c r="H230">
        <v>0</v>
      </c>
      <c r="J230" t="s">
        <v>225</v>
      </c>
      <c r="K230" t="s">
        <v>225</v>
      </c>
      <c r="L230">
        <v>5</v>
      </c>
      <c r="M230">
        <v>5</v>
      </c>
      <c r="N230">
        <v>5</v>
      </c>
      <c r="O230">
        <v>5</v>
      </c>
      <c r="Q230">
        <v>12</v>
      </c>
      <c r="R230">
        <v>36</v>
      </c>
      <c r="S230">
        <v>0.02</v>
      </c>
      <c r="T230">
        <v>0</v>
      </c>
      <c r="V230" t="s">
        <v>225</v>
      </c>
    </row>
    <row r="231" spans="1:22">
      <c r="A231" s="81">
        <v>850026141825</v>
      </c>
      <c r="B231" t="s">
        <v>500</v>
      </c>
      <c r="C231" s="83">
        <v>1936</v>
      </c>
      <c r="D231" t="s">
        <v>238</v>
      </c>
      <c r="E231" s="82">
        <v>45236</v>
      </c>
      <c r="F231">
        <v>1</v>
      </c>
      <c r="G231" t="s">
        <v>251</v>
      </c>
      <c r="H231">
        <v>0</v>
      </c>
      <c r="J231" t="s">
        <v>225</v>
      </c>
      <c r="K231" t="s">
        <v>225</v>
      </c>
      <c r="L231">
        <v>5</v>
      </c>
      <c r="M231">
        <v>5</v>
      </c>
      <c r="N231">
        <v>5</v>
      </c>
      <c r="O231">
        <v>5</v>
      </c>
      <c r="Q231">
        <v>12</v>
      </c>
      <c r="R231">
        <v>36</v>
      </c>
      <c r="S231">
        <v>0.02</v>
      </c>
      <c r="T231">
        <v>0</v>
      </c>
      <c r="V231" t="s">
        <v>225</v>
      </c>
    </row>
    <row r="232" spans="1:22">
      <c r="A232" s="81">
        <v>850026141832</v>
      </c>
      <c r="B232" t="s">
        <v>501</v>
      </c>
      <c r="C232" s="83">
        <v>2376</v>
      </c>
      <c r="D232" t="s">
        <v>238</v>
      </c>
      <c r="E232" s="82">
        <v>45847</v>
      </c>
      <c r="F232">
        <v>0</v>
      </c>
      <c r="G232" t="s">
        <v>251</v>
      </c>
      <c r="H232">
        <v>0</v>
      </c>
      <c r="J232" t="s">
        <v>225</v>
      </c>
      <c r="K232" t="s">
        <v>225</v>
      </c>
      <c r="L232">
        <v>5</v>
      </c>
      <c r="M232">
        <v>5</v>
      </c>
      <c r="N232">
        <v>5</v>
      </c>
      <c r="O232">
        <v>5</v>
      </c>
      <c r="Q232">
        <v>12</v>
      </c>
      <c r="R232">
        <v>36</v>
      </c>
      <c r="S232">
        <v>0.02</v>
      </c>
      <c r="T232">
        <v>0</v>
      </c>
      <c r="V232" t="s">
        <v>225</v>
      </c>
    </row>
    <row r="233" spans="1:22">
      <c r="A233" s="81">
        <v>850026141856</v>
      </c>
      <c r="B233" t="s">
        <v>502</v>
      </c>
      <c r="C233">
        <v>900</v>
      </c>
      <c r="D233" t="s">
        <v>238</v>
      </c>
      <c r="E233" s="82">
        <v>44781</v>
      </c>
      <c r="F233">
        <v>0</v>
      </c>
      <c r="G233" t="s">
        <v>251</v>
      </c>
      <c r="H233">
        <v>0</v>
      </c>
      <c r="J233" t="s">
        <v>225</v>
      </c>
      <c r="K233" t="s">
        <v>225</v>
      </c>
      <c r="L233">
        <v>5</v>
      </c>
      <c r="M233">
        <v>5</v>
      </c>
      <c r="N233">
        <v>5</v>
      </c>
      <c r="O233">
        <v>5</v>
      </c>
      <c r="Q233">
        <v>12</v>
      </c>
      <c r="R233">
        <v>36</v>
      </c>
      <c r="S233">
        <v>4.0000000000000001E-3</v>
      </c>
      <c r="T233">
        <v>0</v>
      </c>
      <c r="V233" t="s">
        <v>225</v>
      </c>
    </row>
    <row r="234" spans="1:22">
      <c r="A234" s="81">
        <v>850026141887</v>
      </c>
      <c r="B234" t="s">
        <v>503</v>
      </c>
      <c r="C234" s="83">
        <v>4821</v>
      </c>
      <c r="D234" t="s">
        <v>238</v>
      </c>
      <c r="E234" s="82">
        <v>44697</v>
      </c>
      <c r="F234">
        <v>0</v>
      </c>
      <c r="G234" t="s">
        <v>251</v>
      </c>
      <c r="H234">
        <v>0</v>
      </c>
      <c r="J234" t="s">
        <v>225</v>
      </c>
      <c r="K234" t="s">
        <v>225</v>
      </c>
      <c r="L234">
        <v>5</v>
      </c>
      <c r="M234">
        <v>5</v>
      </c>
      <c r="N234">
        <v>5</v>
      </c>
      <c r="O234">
        <v>5</v>
      </c>
      <c r="Q234">
        <v>0</v>
      </c>
      <c r="R234">
        <v>12</v>
      </c>
      <c r="S234">
        <v>2.5000000000000001E-2</v>
      </c>
      <c r="T234">
        <v>0</v>
      </c>
      <c r="V234" t="s">
        <v>225</v>
      </c>
    </row>
    <row r="235" spans="1:22">
      <c r="A235" s="81">
        <v>850026141894</v>
      </c>
      <c r="B235" t="s">
        <v>504</v>
      </c>
      <c r="C235" s="83">
        <v>1918</v>
      </c>
      <c r="D235" t="s">
        <v>238</v>
      </c>
      <c r="E235" s="82">
        <v>45863</v>
      </c>
      <c r="F235">
        <v>0</v>
      </c>
      <c r="G235" t="s">
        <v>251</v>
      </c>
      <c r="H235">
        <v>0</v>
      </c>
      <c r="J235" t="s">
        <v>225</v>
      </c>
      <c r="K235" t="s">
        <v>225</v>
      </c>
      <c r="L235">
        <v>5</v>
      </c>
      <c r="M235">
        <v>5</v>
      </c>
      <c r="N235">
        <v>5</v>
      </c>
      <c r="O235">
        <v>5</v>
      </c>
      <c r="Q235">
        <v>3</v>
      </c>
      <c r="R235">
        <v>6</v>
      </c>
      <c r="S235">
        <v>0.05</v>
      </c>
      <c r="T235">
        <v>0</v>
      </c>
      <c r="V235" t="s">
        <v>225</v>
      </c>
    </row>
    <row r="236" spans="1:22">
      <c r="A236" s="81">
        <v>850026141900</v>
      </c>
      <c r="B236" t="s">
        <v>505</v>
      </c>
      <c r="C236" s="83">
        <v>1402</v>
      </c>
      <c r="D236" t="s">
        <v>238</v>
      </c>
      <c r="E236" s="82">
        <v>45863</v>
      </c>
      <c r="F236">
        <v>0</v>
      </c>
      <c r="G236" t="s">
        <v>251</v>
      </c>
      <c r="H236">
        <v>0</v>
      </c>
      <c r="J236" t="s">
        <v>225</v>
      </c>
      <c r="K236" t="s">
        <v>225</v>
      </c>
      <c r="L236">
        <v>5</v>
      </c>
      <c r="M236">
        <v>5</v>
      </c>
      <c r="N236">
        <v>5</v>
      </c>
      <c r="O236">
        <v>5</v>
      </c>
      <c r="Q236">
        <v>3</v>
      </c>
      <c r="R236">
        <v>6</v>
      </c>
      <c r="S236">
        <v>0.05</v>
      </c>
      <c r="T236">
        <v>0</v>
      </c>
      <c r="V236" t="s">
        <v>225</v>
      </c>
    </row>
    <row r="237" spans="1:22">
      <c r="A237" s="81">
        <v>850026141917</v>
      </c>
      <c r="B237" t="s">
        <v>506</v>
      </c>
      <c r="C237" s="83">
        <v>2323</v>
      </c>
      <c r="D237" t="s">
        <v>238</v>
      </c>
      <c r="E237" s="82">
        <v>46022</v>
      </c>
      <c r="F237">
        <v>0</v>
      </c>
      <c r="G237" t="s">
        <v>259</v>
      </c>
      <c r="H237">
        <v>0</v>
      </c>
      <c r="J237" t="s">
        <v>225</v>
      </c>
      <c r="K237" t="s">
        <v>225</v>
      </c>
      <c r="L237">
        <v>5</v>
      </c>
      <c r="M237">
        <v>5</v>
      </c>
      <c r="N237">
        <v>5</v>
      </c>
      <c r="O237">
        <v>5</v>
      </c>
      <c r="Q237">
        <v>3</v>
      </c>
      <c r="R237">
        <v>12</v>
      </c>
      <c r="S237">
        <v>0.04</v>
      </c>
      <c r="T237">
        <v>0</v>
      </c>
      <c r="V237" t="s">
        <v>225</v>
      </c>
    </row>
    <row r="238" spans="1:22">
      <c r="A238" s="81">
        <v>850026141924</v>
      </c>
      <c r="B238" t="s">
        <v>507</v>
      </c>
      <c r="C238" s="83">
        <v>4226</v>
      </c>
      <c r="D238" t="s">
        <v>238</v>
      </c>
      <c r="E238" s="82">
        <v>45824</v>
      </c>
      <c r="F238">
        <v>0</v>
      </c>
      <c r="G238" t="s">
        <v>251</v>
      </c>
      <c r="H238">
        <v>0</v>
      </c>
      <c r="J238" t="s">
        <v>225</v>
      </c>
      <c r="K238" t="s">
        <v>225</v>
      </c>
      <c r="L238">
        <v>5</v>
      </c>
      <c r="M238">
        <v>5</v>
      </c>
      <c r="N238">
        <v>5</v>
      </c>
      <c r="O238">
        <v>5</v>
      </c>
      <c r="Q238">
        <v>0</v>
      </c>
      <c r="R238">
        <v>12</v>
      </c>
      <c r="S238">
        <v>0.09</v>
      </c>
      <c r="T238">
        <v>0</v>
      </c>
      <c r="V238" t="s">
        <v>225</v>
      </c>
    </row>
    <row r="239" spans="1:22">
      <c r="A239" s="81">
        <v>850026141931</v>
      </c>
      <c r="B239" t="s">
        <v>508</v>
      </c>
      <c r="C239" s="83">
        <v>6411</v>
      </c>
      <c r="D239" t="s">
        <v>429</v>
      </c>
      <c r="E239" s="82">
        <v>46022</v>
      </c>
      <c r="F239">
        <v>0</v>
      </c>
      <c r="G239" t="s">
        <v>251</v>
      </c>
      <c r="H239">
        <v>0</v>
      </c>
      <c r="J239" t="s">
        <v>225</v>
      </c>
      <c r="K239" t="s">
        <v>225</v>
      </c>
      <c r="Q239">
        <v>3</v>
      </c>
      <c r="R239">
        <v>12</v>
      </c>
      <c r="S239">
        <v>0</v>
      </c>
      <c r="T239">
        <v>0</v>
      </c>
      <c r="V239" t="s">
        <v>225</v>
      </c>
    </row>
    <row r="240" spans="1:22">
      <c r="A240" s="81">
        <v>850026141955</v>
      </c>
      <c r="B240" t="s">
        <v>509</v>
      </c>
      <c r="C240" s="83">
        <v>8732</v>
      </c>
      <c r="D240" t="s">
        <v>250</v>
      </c>
      <c r="E240" s="82">
        <v>46017</v>
      </c>
      <c r="F240">
        <v>0</v>
      </c>
      <c r="G240" t="s">
        <v>251</v>
      </c>
      <c r="H240">
        <v>0</v>
      </c>
      <c r="J240" t="s">
        <v>225</v>
      </c>
      <c r="K240" t="s">
        <v>225</v>
      </c>
      <c r="L240">
        <v>5</v>
      </c>
      <c r="M240">
        <v>5</v>
      </c>
      <c r="N240">
        <v>5</v>
      </c>
      <c r="O240">
        <v>5</v>
      </c>
      <c r="Q240">
        <v>0</v>
      </c>
      <c r="R240">
        <v>12</v>
      </c>
      <c r="S240">
        <v>2.5000000000000001E-2</v>
      </c>
      <c r="T240">
        <v>0</v>
      </c>
      <c r="V240" t="s">
        <v>225</v>
      </c>
    </row>
    <row r="241" spans="1:22">
      <c r="A241" s="81" t="s">
        <v>510</v>
      </c>
      <c r="B241" t="s">
        <v>511</v>
      </c>
      <c r="C241">
        <v>0</v>
      </c>
      <c r="D241" t="s">
        <v>441</v>
      </c>
      <c r="E241" s="82">
        <v>44939</v>
      </c>
      <c r="F241">
        <v>0</v>
      </c>
      <c r="G241" t="s">
        <v>276</v>
      </c>
      <c r="H241">
        <v>0</v>
      </c>
      <c r="J241" t="s">
        <v>225</v>
      </c>
      <c r="K241" t="s">
        <v>225</v>
      </c>
      <c r="Q241">
        <v>0</v>
      </c>
      <c r="R241">
        <v>0</v>
      </c>
      <c r="S241">
        <v>0</v>
      </c>
      <c r="T241">
        <v>0</v>
      </c>
      <c r="V241" t="s">
        <v>225</v>
      </c>
    </row>
    <row r="242" spans="1:22">
      <c r="A242" s="81">
        <v>850026141962</v>
      </c>
      <c r="B242" t="s">
        <v>512</v>
      </c>
      <c r="C242" s="83">
        <v>2862</v>
      </c>
      <c r="D242" t="s">
        <v>238</v>
      </c>
      <c r="E242" s="82">
        <v>45856</v>
      </c>
      <c r="F242">
        <v>0</v>
      </c>
      <c r="G242" t="s">
        <v>251</v>
      </c>
      <c r="H242">
        <v>0</v>
      </c>
      <c r="J242" t="s">
        <v>225</v>
      </c>
      <c r="K242" t="s">
        <v>225</v>
      </c>
      <c r="L242">
        <v>5</v>
      </c>
      <c r="M242">
        <v>5</v>
      </c>
      <c r="N242">
        <v>5</v>
      </c>
      <c r="O242">
        <v>5</v>
      </c>
      <c r="Q242">
        <v>0</v>
      </c>
      <c r="R242">
        <v>12</v>
      </c>
      <c r="S242">
        <v>0.05</v>
      </c>
      <c r="T242">
        <v>0</v>
      </c>
      <c r="V242" t="s">
        <v>225</v>
      </c>
    </row>
    <row r="243" spans="1:22">
      <c r="A243" s="81">
        <v>850038082000</v>
      </c>
      <c r="B243" t="s">
        <v>513</v>
      </c>
      <c r="C243">
        <v>955</v>
      </c>
      <c r="D243" t="s">
        <v>238</v>
      </c>
      <c r="E243" s="82">
        <v>45824</v>
      </c>
      <c r="F243">
        <v>855</v>
      </c>
      <c r="G243" t="s">
        <v>251</v>
      </c>
      <c r="H243">
        <v>0</v>
      </c>
      <c r="J243" t="s">
        <v>225</v>
      </c>
      <c r="K243" t="s">
        <v>225</v>
      </c>
      <c r="L243">
        <v>5</v>
      </c>
      <c r="M243">
        <v>5</v>
      </c>
      <c r="N243">
        <v>5</v>
      </c>
      <c r="O243">
        <v>5</v>
      </c>
      <c r="Q243">
        <v>2</v>
      </c>
      <c r="R243">
        <v>4</v>
      </c>
      <c r="S243">
        <v>7.0000000000000007E-2</v>
      </c>
      <c r="T243">
        <v>0</v>
      </c>
      <c r="V243" t="s">
        <v>225</v>
      </c>
    </row>
    <row r="244" spans="1:22">
      <c r="A244" s="81">
        <v>850038082048</v>
      </c>
      <c r="B244" t="s">
        <v>514</v>
      </c>
      <c r="C244">
        <v>986</v>
      </c>
      <c r="D244" t="s">
        <v>238</v>
      </c>
      <c r="E244" s="82">
        <v>44817</v>
      </c>
      <c r="F244">
        <v>0</v>
      </c>
      <c r="G244" t="s">
        <v>251</v>
      </c>
      <c r="H244">
        <v>0</v>
      </c>
      <c r="J244" t="s">
        <v>225</v>
      </c>
      <c r="K244" t="s">
        <v>225</v>
      </c>
      <c r="L244">
        <v>5</v>
      </c>
      <c r="M244">
        <v>5</v>
      </c>
      <c r="N244">
        <v>5</v>
      </c>
      <c r="O244">
        <v>5</v>
      </c>
      <c r="Q244">
        <v>12</v>
      </c>
      <c r="R244">
        <v>36</v>
      </c>
      <c r="S244">
        <v>0.01</v>
      </c>
      <c r="T244">
        <v>0</v>
      </c>
      <c r="V244" t="s">
        <v>225</v>
      </c>
    </row>
    <row r="245" spans="1:22">
      <c r="A245" s="81">
        <v>850038082055</v>
      </c>
      <c r="B245" t="s">
        <v>515</v>
      </c>
      <c r="C245" s="83">
        <v>2451</v>
      </c>
      <c r="D245" t="s">
        <v>238</v>
      </c>
      <c r="E245" s="82">
        <v>44817</v>
      </c>
      <c r="F245">
        <v>0</v>
      </c>
      <c r="G245" t="s">
        <v>251</v>
      </c>
      <c r="H245">
        <v>0</v>
      </c>
      <c r="J245" t="s">
        <v>225</v>
      </c>
      <c r="K245" t="s">
        <v>225</v>
      </c>
      <c r="L245">
        <v>5</v>
      </c>
      <c r="M245">
        <v>5</v>
      </c>
      <c r="N245">
        <v>5</v>
      </c>
      <c r="O245">
        <v>5</v>
      </c>
      <c r="Q245">
        <v>0</v>
      </c>
      <c r="R245">
        <v>12</v>
      </c>
      <c r="S245">
        <v>0.03</v>
      </c>
      <c r="T245">
        <v>0</v>
      </c>
      <c r="V245" t="s">
        <v>225</v>
      </c>
    </row>
    <row r="246" spans="1:22">
      <c r="A246" s="81">
        <v>850038082062</v>
      </c>
      <c r="B246" t="s">
        <v>516</v>
      </c>
      <c r="C246" s="83">
        <v>3551</v>
      </c>
      <c r="D246" t="s">
        <v>238</v>
      </c>
      <c r="E246" s="82">
        <v>46022</v>
      </c>
      <c r="F246">
        <v>0</v>
      </c>
      <c r="G246" t="s">
        <v>251</v>
      </c>
      <c r="H246">
        <v>0</v>
      </c>
      <c r="J246" t="s">
        <v>225</v>
      </c>
      <c r="K246" t="s">
        <v>225</v>
      </c>
      <c r="L246">
        <v>5</v>
      </c>
      <c r="M246">
        <v>5</v>
      </c>
      <c r="N246">
        <v>5</v>
      </c>
      <c r="O246">
        <v>5</v>
      </c>
      <c r="Q246">
        <v>3</v>
      </c>
      <c r="R246">
        <v>12</v>
      </c>
      <c r="S246">
        <v>0.01</v>
      </c>
      <c r="T246">
        <v>0</v>
      </c>
      <c r="V246" t="s">
        <v>225</v>
      </c>
    </row>
    <row r="247" spans="1:22">
      <c r="A247" s="81">
        <v>850038082079</v>
      </c>
      <c r="B247" t="s">
        <v>517</v>
      </c>
      <c r="C247">
        <v>24</v>
      </c>
      <c r="D247" t="s">
        <v>429</v>
      </c>
      <c r="E247" s="82">
        <v>45561</v>
      </c>
      <c r="F247">
        <v>0</v>
      </c>
      <c r="G247" t="s">
        <v>251</v>
      </c>
      <c r="H247">
        <v>0</v>
      </c>
      <c r="J247" t="s">
        <v>225</v>
      </c>
      <c r="K247" t="s">
        <v>225</v>
      </c>
      <c r="L247">
        <v>5</v>
      </c>
      <c r="M247">
        <v>5</v>
      </c>
      <c r="N247">
        <v>5</v>
      </c>
      <c r="O247">
        <v>5</v>
      </c>
      <c r="Q247">
        <v>3</v>
      </c>
      <c r="R247">
        <v>12</v>
      </c>
      <c r="S247">
        <v>0.04</v>
      </c>
      <c r="T247">
        <v>0</v>
      </c>
      <c r="V247" t="s">
        <v>225</v>
      </c>
    </row>
    <row r="248" spans="1:22">
      <c r="A248" s="81">
        <v>850038082123</v>
      </c>
      <c r="B248" t="s">
        <v>518</v>
      </c>
      <c r="C248" s="83">
        <v>10645</v>
      </c>
      <c r="D248" t="s">
        <v>238</v>
      </c>
      <c r="E248" s="82">
        <v>45824</v>
      </c>
      <c r="F248">
        <v>0</v>
      </c>
      <c r="G248" t="s">
        <v>251</v>
      </c>
      <c r="H248">
        <v>0</v>
      </c>
      <c r="J248" t="s">
        <v>225</v>
      </c>
      <c r="K248" t="s">
        <v>225</v>
      </c>
      <c r="L248">
        <v>5</v>
      </c>
      <c r="M248">
        <v>5</v>
      </c>
      <c r="N248">
        <v>5</v>
      </c>
      <c r="O248">
        <v>5</v>
      </c>
      <c r="Q248">
        <v>6</v>
      </c>
      <c r="R248">
        <v>12</v>
      </c>
      <c r="S248">
        <v>0.1</v>
      </c>
      <c r="T248">
        <v>0</v>
      </c>
      <c r="V248" t="s">
        <v>225</v>
      </c>
    </row>
    <row r="249" spans="1:22">
      <c r="A249" s="81">
        <v>850038082130</v>
      </c>
      <c r="B249" t="s">
        <v>519</v>
      </c>
      <c r="C249" s="83">
        <v>2250</v>
      </c>
      <c r="D249" t="s">
        <v>238</v>
      </c>
      <c r="E249" s="82">
        <v>45842</v>
      </c>
      <c r="F249">
        <v>0</v>
      </c>
      <c r="G249" t="s">
        <v>251</v>
      </c>
      <c r="H249">
        <v>0</v>
      </c>
      <c r="J249" t="s">
        <v>225</v>
      </c>
      <c r="K249" t="s">
        <v>225</v>
      </c>
      <c r="L249">
        <v>5</v>
      </c>
      <c r="M249">
        <v>5</v>
      </c>
      <c r="N249">
        <v>5</v>
      </c>
      <c r="O249">
        <v>5</v>
      </c>
      <c r="Q249">
        <v>0</v>
      </c>
      <c r="R249">
        <v>100</v>
      </c>
      <c r="S249">
        <v>0.20499999999999999</v>
      </c>
      <c r="T249">
        <v>0</v>
      </c>
      <c r="V249" t="s">
        <v>225</v>
      </c>
    </row>
    <row r="250" spans="1:22">
      <c r="A250" s="81">
        <v>850038082147</v>
      </c>
      <c r="B250" t="s">
        <v>520</v>
      </c>
      <c r="C250">
        <v>97</v>
      </c>
      <c r="E250" s="82">
        <v>45526</v>
      </c>
      <c r="F250">
        <v>0</v>
      </c>
      <c r="G250" t="s">
        <v>251</v>
      </c>
      <c r="H250">
        <v>0</v>
      </c>
      <c r="J250" t="s">
        <v>225</v>
      </c>
      <c r="K250" t="s">
        <v>225</v>
      </c>
      <c r="L250">
        <v>5</v>
      </c>
      <c r="M250">
        <v>5</v>
      </c>
      <c r="N250">
        <v>5</v>
      </c>
      <c r="O250">
        <v>5</v>
      </c>
      <c r="Q250">
        <v>0</v>
      </c>
      <c r="R250">
        <v>12</v>
      </c>
      <c r="S250">
        <v>0.08</v>
      </c>
      <c r="T250">
        <v>0</v>
      </c>
      <c r="V250" t="s">
        <v>225</v>
      </c>
    </row>
    <row r="251" spans="1:22">
      <c r="A251" s="81">
        <v>850038082154</v>
      </c>
      <c r="B251" t="s">
        <v>521</v>
      </c>
      <c r="C251">
        <v>116</v>
      </c>
      <c r="D251" t="s">
        <v>238</v>
      </c>
      <c r="E251" s="82">
        <v>45873</v>
      </c>
      <c r="F251">
        <v>0</v>
      </c>
      <c r="G251" t="s">
        <v>251</v>
      </c>
      <c r="H251">
        <v>0</v>
      </c>
      <c r="J251" t="s">
        <v>225</v>
      </c>
      <c r="K251" t="s">
        <v>225</v>
      </c>
      <c r="L251">
        <v>5</v>
      </c>
      <c r="M251">
        <v>5</v>
      </c>
      <c r="N251">
        <v>5</v>
      </c>
      <c r="O251">
        <v>5</v>
      </c>
      <c r="Q251">
        <v>0</v>
      </c>
      <c r="R251">
        <v>12</v>
      </c>
      <c r="S251">
        <v>0.05</v>
      </c>
      <c r="T251">
        <v>0</v>
      </c>
      <c r="V251" t="s">
        <v>225</v>
      </c>
    </row>
    <row r="252" spans="1:22">
      <c r="A252" s="81">
        <v>850038082161</v>
      </c>
      <c r="B252" t="s">
        <v>522</v>
      </c>
      <c r="C252" s="83">
        <v>2232</v>
      </c>
      <c r="D252" t="s">
        <v>238</v>
      </c>
      <c r="E252" s="82">
        <v>45846</v>
      </c>
      <c r="F252">
        <v>0</v>
      </c>
      <c r="G252" t="s">
        <v>251</v>
      </c>
      <c r="H252">
        <v>0</v>
      </c>
      <c r="J252" t="s">
        <v>225</v>
      </c>
      <c r="K252" t="s">
        <v>225</v>
      </c>
      <c r="L252">
        <v>5</v>
      </c>
      <c r="M252">
        <v>5</v>
      </c>
      <c r="N252">
        <v>5</v>
      </c>
      <c r="O252">
        <v>5</v>
      </c>
      <c r="Q252">
        <v>0</v>
      </c>
      <c r="R252">
        <v>60</v>
      </c>
      <c r="S252">
        <v>0.123</v>
      </c>
      <c r="T252">
        <v>0</v>
      </c>
      <c r="V252" t="s">
        <v>225</v>
      </c>
    </row>
    <row r="253" spans="1:22">
      <c r="A253" s="81">
        <v>850038082178</v>
      </c>
      <c r="B253" t="s">
        <v>523</v>
      </c>
      <c r="C253">
        <v>126</v>
      </c>
      <c r="D253" t="s">
        <v>238</v>
      </c>
      <c r="E253" s="82">
        <v>46022</v>
      </c>
      <c r="F253">
        <v>0</v>
      </c>
      <c r="G253" t="s">
        <v>251</v>
      </c>
      <c r="H253">
        <v>0</v>
      </c>
      <c r="J253" t="s">
        <v>225</v>
      </c>
      <c r="K253" t="s">
        <v>225</v>
      </c>
      <c r="L253">
        <v>5</v>
      </c>
      <c r="M253">
        <v>5</v>
      </c>
      <c r="N253">
        <v>5</v>
      </c>
      <c r="O253">
        <v>5</v>
      </c>
      <c r="Q253">
        <v>0</v>
      </c>
      <c r="R253">
        <v>12</v>
      </c>
      <c r="S253">
        <v>0.08</v>
      </c>
      <c r="T253">
        <v>0</v>
      </c>
      <c r="V253" t="s">
        <v>225</v>
      </c>
    </row>
    <row r="254" spans="1:22">
      <c r="A254" s="81">
        <v>850038082222</v>
      </c>
      <c r="B254" t="s">
        <v>524</v>
      </c>
      <c r="C254">
        <v>53</v>
      </c>
      <c r="E254" s="82">
        <v>46022</v>
      </c>
      <c r="F254">
        <v>0</v>
      </c>
      <c r="G254" t="s">
        <v>251</v>
      </c>
      <c r="H254">
        <v>0</v>
      </c>
      <c r="J254" t="s">
        <v>225</v>
      </c>
      <c r="K254" t="s">
        <v>225</v>
      </c>
      <c r="L254">
        <v>5</v>
      </c>
      <c r="M254">
        <v>5</v>
      </c>
      <c r="N254">
        <v>5</v>
      </c>
      <c r="O254">
        <v>5</v>
      </c>
      <c r="Q254">
        <v>0</v>
      </c>
      <c r="R254">
        <v>12</v>
      </c>
      <c r="S254">
        <v>0.05</v>
      </c>
      <c r="T254">
        <v>0</v>
      </c>
      <c r="V254" t="s">
        <v>225</v>
      </c>
    </row>
    <row r="255" spans="1:22">
      <c r="A255" s="81">
        <v>850038082246</v>
      </c>
      <c r="B255" t="s">
        <v>525</v>
      </c>
      <c r="C255">
        <v>0</v>
      </c>
      <c r="E255" s="82">
        <v>45873</v>
      </c>
      <c r="F255">
        <v>0</v>
      </c>
      <c r="G255" t="s">
        <v>251</v>
      </c>
      <c r="H255">
        <v>0</v>
      </c>
      <c r="J255" t="s">
        <v>225</v>
      </c>
      <c r="K255" t="s">
        <v>225</v>
      </c>
      <c r="L255">
        <v>5</v>
      </c>
      <c r="M255">
        <v>5</v>
      </c>
      <c r="N255">
        <v>5</v>
      </c>
      <c r="O255">
        <v>5</v>
      </c>
      <c r="Q255">
        <v>3</v>
      </c>
      <c r="R255">
        <v>12</v>
      </c>
      <c r="S255">
        <v>0.04</v>
      </c>
      <c r="T255">
        <v>0</v>
      </c>
      <c r="V255" t="s">
        <v>225</v>
      </c>
    </row>
    <row r="256" spans="1:22">
      <c r="A256" s="81">
        <v>850038082284</v>
      </c>
      <c r="B256" t="s">
        <v>526</v>
      </c>
      <c r="C256">
        <v>0</v>
      </c>
      <c r="D256" t="s">
        <v>232</v>
      </c>
      <c r="F256">
        <v>0</v>
      </c>
      <c r="G256" t="s">
        <v>229</v>
      </c>
      <c r="H256">
        <v>0</v>
      </c>
      <c r="J256" t="s">
        <v>225</v>
      </c>
      <c r="K256" t="s">
        <v>225</v>
      </c>
      <c r="L256">
        <v>5</v>
      </c>
      <c r="M256">
        <v>5</v>
      </c>
      <c r="N256">
        <v>5</v>
      </c>
      <c r="O256">
        <v>5</v>
      </c>
      <c r="Q256">
        <v>0</v>
      </c>
      <c r="R256">
        <v>0</v>
      </c>
      <c r="S256">
        <v>0</v>
      </c>
      <c r="T256">
        <v>0</v>
      </c>
      <c r="V256" t="s">
        <v>225</v>
      </c>
    </row>
    <row r="257" spans="1:22">
      <c r="A257" s="81">
        <v>850038082314</v>
      </c>
      <c r="B257" t="s">
        <v>527</v>
      </c>
      <c r="C257" s="83">
        <v>13617</v>
      </c>
      <c r="D257" t="s">
        <v>238</v>
      </c>
      <c r="E257" s="82">
        <v>46036</v>
      </c>
      <c r="F257">
        <v>162</v>
      </c>
      <c r="G257" t="s">
        <v>310</v>
      </c>
      <c r="H257">
        <v>102</v>
      </c>
      <c r="J257" t="s">
        <v>225</v>
      </c>
      <c r="K257" t="s">
        <v>225</v>
      </c>
      <c r="L257">
        <v>5</v>
      </c>
      <c r="M257">
        <v>5</v>
      </c>
      <c r="N257">
        <v>5</v>
      </c>
      <c r="O257">
        <v>5</v>
      </c>
      <c r="Q257">
        <v>0</v>
      </c>
      <c r="R257">
        <v>6</v>
      </c>
      <c r="S257">
        <v>3.3000000000000002E-2</v>
      </c>
      <c r="T257">
        <v>0</v>
      </c>
      <c r="V257" t="s">
        <v>225</v>
      </c>
    </row>
    <row r="258" spans="1:22">
      <c r="A258" s="81" t="s">
        <v>528</v>
      </c>
      <c r="B258" t="s">
        <v>529</v>
      </c>
      <c r="C258">
        <v>0</v>
      </c>
      <c r="E258" s="82">
        <v>45643</v>
      </c>
      <c r="F258">
        <v>0</v>
      </c>
      <c r="G258" t="s">
        <v>251</v>
      </c>
      <c r="H258">
        <v>0</v>
      </c>
      <c r="J258" t="s">
        <v>225</v>
      </c>
      <c r="K258" t="s">
        <v>225</v>
      </c>
      <c r="L258">
        <v>5</v>
      </c>
      <c r="M258">
        <v>5</v>
      </c>
      <c r="N258">
        <v>5</v>
      </c>
      <c r="O258">
        <v>5</v>
      </c>
      <c r="Q258">
        <v>0</v>
      </c>
      <c r="R258">
        <v>6</v>
      </c>
      <c r="S258">
        <v>0.03</v>
      </c>
      <c r="T258">
        <v>0</v>
      </c>
      <c r="V258" t="s">
        <v>225</v>
      </c>
    </row>
    <row r="259" spans="1:22">
      <c r="A259" s="81" t="s">
        <v>530</v>
      </c>
      <c r="B259" t="s">
        <v>531</v>
      </c>
      <c r="C259">
        <v>0</v>
      </c>
      <c r="E259" s="82">
        <v>45506</v>
      </c>
      <c r="F259">
        <v>0</v>
      </c>
      <c r="G259" t="s">
        <v>280</v>
      </c>
      <c r="H259">
        <v>0</v>
      </c>
      <c r="J259" t="s">
        <v>225</v>
      </c>
      <c r="K259" t="s">
        <v>225</v>
      </c>
      <c r="L259">
        <v>5</v>
      </c>
      <c r="M259">
        <v>5</v>
      </c>
      <c r="N259">
        <v>5</v>
      </c>
      <c r="O259">
        <v>5</v>
      </c>
      <c r="Q259">
        <v>0</v>
      </c>
      <c r="R259">
        <v>6</v>
      </c>
      <c r="S259">
        <v>2.8000000000000001E-2</v>
      </c>
      <c r="T259">
        <v>0</v>
      </c>
      <c r="V259" t="s">
        <v>226</v>
      </c>
    </row>
    <row r="260" spans="1:22">
      <c r="A260" s="81" t="s">
        <v>532</v>
      </c>
      <c r="B260" t="s">
        <v>533</v>
      </c>
      <c r="C260">
        <v>0</v>
      </c>
      <c r="F260">
        <v>0</v>
      </c>
      <c r="G260" t="s">
        <v>280</v>
      </c>
      <c r="H260">
        <v>0</v>
      </c>
      <c r="J260" t="s">
        <v>225</v>
      </c>
      <c r="K260" t="s">
        <v>225</v>
      </c>
      <c r="L260">
        <v>5</v>
      </c>
      <c r="M260">
        <v>5</v>
      </c>
      <c r="N260">
        <v>5</v>
      </c>
      <c r="O260">
        <v>5</v>
      </c>
      <c r="Q260">
        <v>0</v>
      </c>
      <c r="R260">
        <v>10</v>
      </c>
      <c r="S260">
        <v>0.02</v>
      </c>
      <c r="T260">
        <v>0</v>
      </c>
      <c r="V260" t="s">
        <v>226</v>
      </c>
    </row>
    <row r="261" spans="1:22">
      <c r="A261" s="81">
        <v>850038082345</v>
      </c>
      <c r="B261" t="s">
        <v>534</v>
      </c>
      <c r="C261">
        <v>32</v>
      </c>
      <c r="D261" t="s">
        <v>238</v>
      </c>
      <c r="E261" s="82">
        <v>45853</v>
      </c>
      <c r="F261">
        <v>0</v>
      </c>
      <c r="G261" t="s">
        <v>251</v>
      </c>
      <c r="H261">
        <v>0</v>
      </c>
      <c r="J261" t="s">
        <v>225</v>
      </c>
      <c r="K261" t="s">
        <v>225</v>
      </c>
      <c r="L261">
        <v>5</v>
      </c>
      <c r="M261">
        <v>5</v>
      </c>
      <c r="N261">
        <v>5</v>
      </c>
      <c r="O261">
        <v>5</v>
      </c>
      <c r="Q261">
        <v>0</v>
      </c>
      <c r="R261">
        <v>24</v>
      </c>
      <c r="S261">
        <v>2.4E-2</v>
      </c>
      <c r="T261">
        <v>0</v>
      </c>
      <c r="V261" t="s">
        <v>225</v>
      </c>
    </row>
    <row r="262" spans="1:22">
      <c r="A262" s="81">
        <v>850038082352</v>
      </c>
      <c r="B262" t="s">
        <v>535</v>
      </c>
      <c r="C262" s="83">
        <v>107968</v>
      </c>
      <c r="D262" t="s">
        <v>238</v>
      </c>
      <c r="E262" s="82">
        <v>46100</v>
      </c>
      <c r="F262">
        <v>936</v>
      </c>
      <c r="G262" t="s">
        <v>310</v>
      </c>
      <c r="H262" s="83">
        <v>47232</v>
      </c>
      <c r="J262" t="s">
        <v>225</v>
      </c>
      <c r="K262" t="s">
        <v>225</v>
      </c>
      <c r="L262">
        <v>5</v>
      </c>
      <c r="M262">
        <v>5</v>
      </c>
      <c r="N262">
        <v>5</v>
      </c>
      <c r="O262">
        <v>5</v>
      </c>
      <c r="Q262">
        <v>1</v>
      </c>
      <c r="R262">
        <v>6</v>
      </c>
      <c r="S262">
        <v>0.10614696</v>
      </c>
      <c r="T262">
        <v>0</v>
      </c>
      <c r="V262" t="s">
        <v>225</v>
      </c>
    </row>
    <row r="263" spans="1:22">
      <c r="A263" s="81" t="s">
        <v>536</v>
      </c>
      <c r="B263" t="s">
        <v>537</v>
      </c>
      <c r="C263">
        <v>0</v>
      </c>
      <c r="F263">
        <v>0</v>
      </c>
      <c r="G263" t="s">
        <v>280</v>
      </c>
      <c r="H263">
        <v>0</v>
      </c>
      <c r="J263" t="s">
        <v>225</v>
      </c>
      <c r="K263" t="s">
        <v>225</v>
      </c>
      <c r="L263">
        <v>5</v>
      </c>
      <c r="M263">
        <v>5</v>
      </c>
      <c r="N263">
        <v>5</v>
      </c>
      <c r="O263">
        <v>5</v>
      </c>
      <c r="Q263">
        <v>0</v>
      </c>
      <c r="R263">
        <v>10</v>
      </c>
      <c r="S263">
        <v>0.02</v>
      </c>
      <c r="T263">
        <v>0</v>
      </c>
      <c r="V263" t="s">
        <v>226</v>
      </c>
    </row>
    <row r="264" spans="1:22">
      <c r="A264" s="81">
        <v>850038082383</v>
      </c>
      <c r="B264" t="s">
        <v>538</v>
      </c>
      <c r="C264" s="83">
        <v>41785</v>
      </c>
      <c r="D264" t="s">
        <v>238</v>
      </c>
      <c r="E264" s="82">
        <v>46100</v>
      </c>
      <c r="F264">
        <v>92</v>
      </c>
      <c r="G264" t="s">
        <v>310</v>
      </c>
      <c r="H264" s="83">
        <v>94470</v>
      </c>
      <c r="J264" t="s">
        <v>225</v>
      </c>
      <c r="K264" t="s">
        <v>225</v>
      </c>
      <c r="L264">
        <v>5</v>
      </c>
      <c r="M264">
        <v>5</v>
      </c>
      <c r="N264">
        <v>5</v>
      </c>
      <c r="O264">
        <v>5</v>
      </c>
      <c r="Q264">
        <v>0</v>
      </c>
      <c r="R264">
        <v>6</v>
      </c>
      <c r="S264">
        <v>9.4477500000000006E-2</v>
      </c>
      <c r="T264">
        <v>0</v>
      </c>
      <c r="V264" t="s">
        <v>225</v>
      </c>
    </row>
    <row r="265" spans="1:22">
      <c r="A265" s="81">
        <v>850038082499</v>
      </c>
      <c r="B265" t="s">
        <v>539</v>
      </c>
      <c r="C265" s="83">
        <v>3685</v>
      </c>
      <c r="D265" t="s">
        <v>238</v>
      </c>
      <c r="E265" s="82">
        <v>46091</v>
      </c>
      <c r="F265">
        <v>3</v>
      </c>
      <c r="G265" t="s">
        <v>310</v>
      </c>
      <c r="H265">
        <v>600</v>
      </c>
      <c r="J265" t="s">
        <v>225</v>
      </c>
      <c r="K265" t="s">
        <v>225</v>
      </c>
      <c r="L265">
        <v>5</v>
      </c>
      <c r="M265">
        <v>5</v>
      </c>
      <c r="N265">
        <v>5</v>
      </c>
      <c r="O265">
        <v>5</v>
      </c>
      <c r="Q265">
        <v>0</v>
      </c>
      <c r="R265">
        <v>100</v>
      </c>
      <c r="S265">
        <v>7.0000000000000001E-3</v>
      </c>
      <c r="T265">
        <v>0</v>
      </c>
      <c r="V265" t="s">
        <v>225</v>
      </c>
    </row>
    <row r="266" spans="1:22">
      <c r="A266" s="81">
        <v>850038082529</v>
      </c>
      <c r="B266" t="s">
        <v>540</v>
      </c>
      <c r="C266" s="83">
        <v>16961</v>
      </c>
      <c r="D266" t="s">
        <v>541</v>
      </c>
      <c r="E266" s="82">
        <v>46030</v>
      </c>
      <c r="F266">
        <v>0</v>
      </c>
      <c r="G266" t="s">
        <v>280</v>
      </c>
      <c r="H266">
        <v>0</v>
      </c>
      <c r="J266" t="s">
        <v>225</v>
      </c>
      <c r="K266" t="s">
        <v>225</v>
      </c>
      <c r="L266">
        <v>5</v>
      </c>
      <c r="M266">
        <v>5</v>
      </c>
      <c r="N266">
        <v>5</v>
      </c>
      <c r="O266">
        <v>5</v>
      </c>
      <c r="Q266">
        <v>1</v>
      </c>
      <c r="R266">
        <v>108</v>
      </c>
      <c r="S266">
        <v>0.10199999999999999</v>
      </c>
      <c r="T266">
        <v>0</v>
      </c>
      <c r="V266" t="s">
        <v>225</v>
      </c>
    </row>
    <row r="267" spans="1:22">
      <c r="A267" s="81">
        <v>850038082536</v>
      </c>
      <c r="B267" t="s">
        <v>542</v>
      </c>
      <c r="C267" s="83">
        <v>5207</v>
      </c>
      <c r="E267" s="82">
        <v>46030</v>
      </c>
      <c r="F267">
        <v>0</v>
      </c>
      <c r="G267" t="s">
        <v>280</v>
      </c>
      <c r="H267">
        <v>0</v>
      </c>
      <c r="J267" t="s">
        <v>225</v>
      </c>
      <c r="K267" t="s">
        <v>225</v>
      </c>
      <c r="L267">
        <v>5</v>
      </c>
      <c r="M267">
        <v>5</v>
      </c>
      <c r="N267">
        <v>5</v>
      </c>
      <c r="O267">
        <v>5</v>
      </c>
      <c r="Q267">
        <v>1</v>
      </c>
      <c r="R267">
        <v>84</v>
      </c>
      <c r="S267">
        <v>0.10199999999999999</v>
      </c>
      <c r="T267">
        <v>0</v>
      </c>
      <c r="V267" t="s">
        <v>225</v>
      </c>
    </row>
    <row r="268" spans="1:22">
      <c r="A268" s="81">
        <v>850038082543</v>
      </c>
      <c r="B268" t="s">
        <v>543</v>
      </c>
      <c r="C268" s="83">
        <v>6105</v>
      </c>
      <c r="E268" s="82">
        <v>46030</v>
      </c>
      <c r="F268">
        <v>0</v>
      </c>
      <c r="G268" t="s">
        <v>280</v>
      </c>
      <c r="H268">
        <v>0</v>
      </c>
      <c r="J268" t="s">
        <v>225</v>
      </c>
      <c r="K268" t="s">
        <v>225</v>
      </c>
      <c r="L268">
        <v>5</v>
      </c>
      <c r="M268">
        <v>5</v>
      </c>
      <c r="N268">
        <v>5</v>
      </c>
      <c r="O268">
        <v>5</v>
      </c>
      <c r="Q268">
        <v>1</v>
      </c>
      <c r="R268">
        <v>108</v>
      </c>
      <c r="S268">
        <v>0.10199999999999999</v>
      </c>
      <c r="T268">
        <v>0</v>
      </c>
      <c r="V268" t="s">
        <v>225</v>
      </c>
    </row>
    <row r="269" spans="1:22">
      <c r="A269" s="81">
        <v>850038082550</v>
      </c>
      <c r="B269" t="s">
        <v>544</v>
      </c>
      <c r="C269">
        <v>0</v>
      </c>
      <c r="D269" t="s">
        <v>238</v>
      </c>
      <c r="F269">
        <v>0</v>
      </c>
      <c r="G269" t="s">
        <v>259</v>
      </c>
      <c r="H269">
        <v>0</v>
      </c>
      <c r="J269" t="s">
        <v>225</v>
      </c>
      <c r="K269" t="s">
        <v>225</v>
      </c>
      <c r="L269">
        <v>5</v>
      </c>
      <c r="M269">
        <v>5</v>
      </c>
      <c r="N269">
        <v>5</v>
      </c>
      <c r="O269">
        <v>5</v>
      </c>
      <c r="Q269">
        <v>0</v>
      </c>
      <c r="R269">
        <v>50</v>
      </c>
      <c r="S269">
        <v>1.9E-2</v>
      </c>
      <c r="T269">
        <v>0</v>
      </c>
      <c r="V269" t="s">
        <v>225</v>
      </c>
    </row>
    <row r="270" spans="1:22">
      <c r="A270" s="81">
        <v>850038082567</v>
      </c>
      <c r="B270" t="s">
        <v>545</v>
      </c>
      <c r="C270" s="83">
        <v>3150</v>
      </c>
      <c r="D270" t="s">
        <v>238</v>
      </c>
      <c r="E270" s="82">
        <v>46104</v>
      </c>
      <c r="F270">
        <v>22</v>
      </c>
      <c r="G270" t="s">
        <v>259</v>
      </c>
      <c r="H270" s="83">
        <v>5040</v>
      </c>
      <c r="J270" t="s">
        <v>225</v>
      </c>
      <c r="K270" t="s">
        <v>225</v>
      </c>
      <c r="L270">
        <v>5</v>
      </c>
      <c r="M270">
        <v>5</v>
      </c>
      <c r="N270">
        <v>5</v>
      </c>
      <c r="O270">
        <v>5</v>
      </c>
      <c r="Q270">
        <v>0</v>
      </c>
      <c r="R270">
        <v>48</v>
      </c>
      <c r="S270">
        <v>2.3E-2</v>
      </c>
      <c r="T270">
        <v>0</v>
      </c>
      <c r="V270" t="s">
        <v>225</v>
      </c>
    </row>
    <row r="271" spans="1:22">
      <c r="A271" s="81">
        <v>850038082574</v>
      </c>
      <c r="B271" t="s">
        <v>546</v>
      </c>
      <c r="C271" s="83">
        <v>2056</v>
      </c>
      <c r="D271" t="s">
        <v>238</v>
      </c>
      <c r="E271" s="82">
        <v>46100</v>
      </c>
      <c r="F271">
        <v>52</v>
      </c>
      <c r="G271" t="s">
        <v>310</v>
      </c>
      <c r="H271" s="83">
        <v>1600</v>
      </c>
      <c r="J271" t="s">
        <v>225</v>
      </c>
      <c r="K271" t="s">
        <v>225</v>
      </c>
      <c r="L271">
        <v>5</v>
      </c>
      <c r="M271">
        <v>5</v>
      </c>
      <c r="N271">
        <v>5</v>
      </c>
      <c r="O271">
        <v>5</v>
      </c>
      <c r="Q271">
        <v>0</v>
      </c>
      <c r="R271">
        <v>50</v>
      </c>
      <c r="S271">
        <v>5.0000000000000001E-3</v>
      </c>
      <c r="T271">
        <v>0</v>
      </c>
      <c r="V271" t="s">
        <v>225</v>
      </c>
    </row>
    <row r="272" spans="1:22">
      <c r="A272" s="81">
        <v>850038082581</v>
      </c>
      <c r="B272" t="s">
        <v>547</v>
      </c>
      <c r="C272">
        <v>977</v>
      </c>
      <c r="D272" t="s">
        <v>238</v>
      </c>
      <c r="E272" s="82">
        <v>46042</v>
      </c>
      <c r="F272">
        <v>3</v>
      </c>
      <c r="G272" t="s">
        <v>280</v>
      </c>
      <c r="H272">
        <v>0</v>
      </c>
      <c r="J272" t="s">
        <v>225</v>
      </c>
      <c r="K272" t="s">
        <v>225</v>
      </c>
      <c r="L272">
        <v>5</v>
      </c>
      <c r="M272">
        <v>5</v>
      </c>
      <c r="N272">
        <v>5</v>
      </c>
      <c r="O272">
        <v>5</v>
      </c>
      <c r="Q272">
        <v>0</v>
      </c>
      <c r="R272">
        <v>12</v>
      </c>
      <c r="S272">
        <v>6.5000000000000002E-2</v>
      </c>
      <c r="T272">
        <v>0</v>
      </c>
      <c r="V272" t="s">
        <v>225</v>
      </c>
    </row>
    <row r="273" spans="1:22">
      <c r="A273" s="81">
        <v>850038082604</v>
      </c>
      <c r="B273" t="s">
        <v>548</v>
      </c>
      <c r="C273" s="83">
        <v>38723</v>
      </c>
      <c r="D273" t="s">
        <v>238</v>
      </c>
      <c r="E273" s="82">
        <v>46104</v>
      </c>
      <c r="F273">
        <v>165</v>
      </c>
      <c r="G273" t="s">
        <v>310</v>
      </c>
      <c r="H273" s="83">
        <v>4824</v>
      </c>
      <c r="J273" t="s">
        <v>225</v>
      </c>
      <c r="K273" t="s">
        <v>225</v>
      </c>
      <c r="L273">
        <v>5</v>
      </c>
      <c r="M273">
        <v>5</v>
      </c>
      <c r="N273">
        <v>5</v>
      </c>
      <c r="O273">
        <v>5</v>
      </c>
      <c r="Q273">
        <v>0</v>
      </c>
      <c r="R273">
        <v>24</v>
      </c>
      <c r="S273">
        <v>3.2000000000000001E-2</v>
      </c>
      <c r="T273">
        <v>0</v>
      </c>
      <c r="V273" t="s">
        <v>225</v>
      </c>
    </row>
    <row r="274" spans="1:22">
      <c r="A274" s="81">
        <v>850038082611</v>
      </c>
      <c r="B274" t="s">
        <v>549</v>
      </c>
      <c r="C274">
        <v>0</v>
      </c>
      <c r="F274">
        <v>0</v>
      </c>
      <c r="G274" t="s">
        <v>280</v>
      </c>
      <c r="H274">
        <v>0</v>
      </c>
      <c r="J274" t="s">
        <v>225</v>
      </c>
      <c r="K274" t="s">
        <v>225</v>
      </c>
      <c r="L274">
        <v>5</v>
      </c>
      <c r="M274">
        <v>5</v>
      </c>
      <c r="N274">
        <v>5</v>
      </c>
      <c r="O274">
        <v>5</v>
      </c>
      <c r="Q274">
        <v>1</v>
      </c>
      <c r="R274">
        <v>12</v>
      </c>
      <c r="S274">
        <v>0.02</v>
      </c>
      <c r="T274">
        <v>0</v>
      </c>
      <c r="V274" t="s">
        <v>226</v>
      </c>
    </row>
    <row r="275" spans="1:22">
      <c r="A275" s="81">
        <v>850038082628</v>
      </c>
      <c r="B275" t="s">
        <v>550</v>
      </c>
      <c r="C275" s="83">
        <v>3187</v>
      </c>
      <c r="D275" t="s">
        <v>238</v>
      </c>
      <c r="E275" s="82">
        <v>45891</v>
      </c>
      <c r="F275">
        <v>132</v>
      </c>
      <c r="G275" t="s">
        <v>280</v>
      </c>
      <c r="H275" s="83">
        <v>4008</v>
      </c>
      <c r="J275" t="s">
        <v>225</v>
      </c>
      <c r="K275" t="s">
        <v>225</v>
      </c>
      <c r="L275">
        <v>5</v>
      </c>
      <c r="M275">
        <v>5</v>
      </c>
      <c r="N275">
        <v>5</v>
      </c>
      <c r="O275">
        <v>5</v>
      </c>
      <c r="Q275">
        <v>0</v>
      </c>
      <c r="R275">
        <v>12</v>
      </c>
      <c r="S275">
        <v>4.8000000000000001E-2</v>
      </c>
      <c r="T275">
        <v>0</v>
      </c>
      <c r="V275" t="s">
        <v>225</v>
      </c>
    </row>
    <row r="276" spans="1:22">
      <c r="A276" s="81">
        <v>850038082635</v>
      </c>
      <c r="B276" t="s">
        <v>551</v>
      </c>
      <c r="C276">
        <v>785</v>
      </c>
      <c r="D276" t="s">
        <v>238</v>
      </c>
      <c r="E276" s="82">
        <v>46092</v>
      </c>
      <c r="F276">
        <v>2</v>
      </c>
      <c r="G276" t="s">
        <v>259</v>
      </c>
      <c r="H276">
        <v>0</v>
      </c>
      <c r="J276" t="s">
        <v>225</v>
      </c>
      <c r="K276" t="s">
        <v>225</v>
      </c>
      <c r="L276">
        <v>5</v>
      </c>
      <c r="M276">
        <v>5</v>
      </c>
      <c r="N276">
        <v>5</v>
      </c>
      <c r="O276">
        <v>5</v>
      </c>
      <c r="Q276">
        <v>0</v>
      </c>
      <c r="R276">
        <v>100</v>
      </c>
      <c r="S276">
        <v>1E-3</v>
      </c>
      <c r="T276">
        <v>0</v>
      </c>
      <c r="V276" t="s">
        <v>225</v>
      </c>
    </row>
    <row r="277" spans="1:22">
      <c r="A277" s="81">
        <v>850038082642</v>
      </c>
      <c r="B277" t="s">
        <v>552</v>
      </c>
      <c r="C277" s="83">
        <v>8846</v>
      </c>
      <c r="D277" t="s">
        <v>238</v>
      </c>
      <c r="E277" s="82">
        <v>46069</v>
      </c>
      <c r="F277">
        <v>6</v>
      </c>
      <c r="G277" t="s">
        <v>259</v>
      </c>
      <c r="H277">
        <v>24</v>
      </c>
      <c r="J277" t="s">
        <v>225</v>
      </c>
      <c r="K277" t="s">
        <v>225</v>
      </c>
      <c r="L277">
        <v>5</v>
      </c>
      <c r="M277">
        <v>5</v>
      </c>
      <c r="N277">
        <v>5</v>
      </c>
      <c r="O277">
        <v>5</v>
      </c>
      <c r="Q277">
        <v>1</v>
      </c>
      <c r="R277">
        <v>24</v>
      </c>
      <c r="S277">
        <v>8.4000000000000005E-2</v>
      </c>
      <c r="T277">
        <v>0</v>
      </c>
      <c r="V277" t="s">
        <v>225</v>
      </c>
    </row>
    <row r="278" spans="1:22">
      <c r="A278" s="81">
        <v>850038082659</v>
      </c>
      <c r="B278" t="s">
        <v>553</v>
      </c>
      <c r="C278" s="83">
        <v>5493</v>
      </c>
      <c r="D278" t="s">
        <v>238</v>
      </c>
      <c r="E278" s="82">
        <v>46042</v>
      </c>
      <c r="F278">
        <v>14</v>
      </c>
      <c r="G278" t="s">
        <v>280</v>
      </c>
      <c r="H278" s="83">
        <v>7632</v>
      </c>
      <c r="J278" t="s">
        <v>225</v>
      </c>
      <c r="K278" t="s">
        <v>225</v>
      </c>
      <c r="L278">
        <v>5</v>
      </c>
      <c r="M278">
        <v>5</v>
      </c>
      <c r="N278">
        <v>5</v>
      </c>
      <c r="O278">
        <v>5</v>
      </c>
      <c r="Q278">
        <v>0</v>
      </c>
      <c r="R278">
        <v>24</v>
      </c>
      <c r="S278">
        <v>6.2775999999999998E-2</v>
      </c>
      <c r="T278">
        <v>0</v>
      </c>
      <c r="V278" t="s">
        <v>225</v>
      </c>
    </row>
    <row r="279" spans="1:22">
      <c r="A279" s="81">
        <v>850038082666</v>
      </c>
      <c r="B279" t="s">
        <v>554</v>
      </c>
      <c r="C279" s="83">
        <v>1740</v>
      </c>
      <c r="D279" t="s">
        <v>238</v>
      </c>
      <c r="E279" s="82">
        <v>46020</v>
      </c>
      <c r="F279">
        <v>4</v>
      </c>
      <c r="G279" t="s">
        <v>280</v>
      </c>
      <c r="H279">
        <v>0</v>
      </c>
      <c r="J279" t="s">
        <v>225</v>
      </c>
      <c r="K279" t="s">
        <v>225</v>
      </c>
      <c r="Q279">
        <v>0</v>
      </c>
      <c r="R279">
        <v>18</v>
      </c>
      <c r="S279">
        <v>0</v>
      </c>
      <c r="T279">
        <v>0</v>
      </c>
      <c r="V279" t="s">
        <v>225</v>
      </c>
    </row>
    <row r="280" spans="1:22">
      <c r="A280" s="81">
        <v>850038082673</v>
      </c>
      <c r="B280" t="s">
        <v>555</v>
      </c>
      <c r="C280" s="83">
        <v>2999</v>
      </c>
      <c r="D280" t="s">
        <v>238</v>
      </c>
      <c r="E280" s="82">
        <v>46065</v>
      </c>
      <c r="F280">
        <v>0</v>
      </c>
      <c r="G280" t="s">
        <v>310</v>
      </c>
      <c r="H280">
        <v>0</v>
      </c>
      <c r="J280" t="s">
        <v>225</v>
      </c>
      <c r="K280" t="s">
        <v>225</v>
      </c>
      <c r="L280">
        <v>5</v>
      </c>
      <c r="M280">
        <v>5</v>
      </c>
      <c r="N280">
        <v>5</v>
      </c>
      <c r="O280">
        <v>5</v>
      </c>
      <c r="Q280">
        <v>0</v>
      </c>
      <c r="R280">
        <v>100</v>
      </c>
      <c r="S280">
        <v>7.0000000000000001E-3</v>
      </c>
      <c r="T280">
        <v>0</v>
      </c>
      <c r="V280" t="s">
        <v>225</v>
      </c>
    </row>
    <row r="281" spans="1:22">
      <c r="A281" s="81">
        <v>850038082680</v>
      </c>
      <c r="B281" t="s">
        <v>556</v>
      </c>
      <c r="C281">
        <v>859</v>
      </c>
      <c r="D281" t="s">
        <v>238</v>
      </c>
      <c r="E281" s="82">
        <v>46104</v>
      </c>
      <c r="F281">
        <v>5</v>
      </c>
      <c r="G281" t="s">
        <v>280</v>
      </c>
      <c r="H281">
        <v>0</v>
      </c>
      <c r="J281" t="s">
        <v>225</v>
      </c>
      <c r="K281" t="s">
        <v>225</v>
      </c>
      <c r="L281">
        <v>5</v>
      </c>
      <c r="M281">
        <v>5</v>
      </c>
      <c r="N281">
        <v>5</v>
      </c>
      <c r="O281">
        <v>5</v>
      </c>
      <c r="Q281">
        <v>0</v>
      </c>
      <c r="R281">
        <v>48</v>
      </c>
      <c r="S281">
        <v>1.2E-2</v>
      </c>
      <c r="T281">
        <v>0</v>
      </c>
      <c r="V281" t="s">
        <v>225</v>
      </c>
    </row>
    <row r="282" spans="1:22">
      <c r="A282" s="81">
        <v>850038082697</v>
      </c>
      <c r="B282" t="s">
        <v>557</v>
      </c>
      <c r="C282">
        <v>0</v>
      </c>
      <c r="D282" t="s">
        <v>238</v>
      </c>
      <c r="F282">
        <v>0</v>
      </c>
      <c r="G282" t="s">
        <v>259</v>
      </c>
      <c r="H282" s="83">
        <v>5040</v>
      </c>
      <c r="J282" t="s">
        <v>225</v>
      </c>
      <c r="K282" t="s">
        <v>225</v>
      </c>
      <c r="L282">
        <v>5</v>
      </c>
      <c r="M282">
        <v>5</v>
      </c>
      <c r="N282">
        <v>5</v>
      </c>
      <c r="O282">
        <v>5</v>
      </c>
      <c r="Q282">
        <v>0</v>
      </c>
      <c r="R282">
        <v>48</v>
      </c>
      <c r="S282">
        <v>2.3E-2</v>
      </c>
      <c r="T282">
        <v>0</v>
      </c>
      <c r="V282" t="s">
        <v>225</v>
      </c>
    </row>
    <row r="283" spans="1:22">
      <c r="A283" s="81">
        <v>850038082703</v>
      </c>
      <c r="B283" t="s">
        <v>558</v>
      </c>
      <c r="C283">
        <v>0</v>
      </c>
      <c r="D283" t="s">
        <v>238</v>
      </c>
      <c r="F283">
        <v>0</v>
      </c>
      <c r="G283" t="s">
        <v>259</v>
      </c>
      <c r="H283" s="83">
        <v>10032</v>
      </c>
      <c r="J283" t="s">
        <v>225</v>
      </c>
      <c r="K283" t="s">
        <v>225</v>
      </c>
      <c r="L283">
        <v>5</v>
      </c>
      <c r="M283">
        <v>5</v>
      </c>
      <c r="N283">
        <v>5</v>
      </c>
      <c r="O283">
        <v>5</v>
      </c>
      <c r="Q283">
        <v>0</v>
      </c>
      <c r="R283">
        <v>48</v>
      </c>
      <c r="S283">
        <v>2.3E-2</v>
      </c>
      <c r="T283">
        <v>0</v>
      </c>
      <c r="V283" t="s">
        <v>225</v>
      </c>
    </row>
    <row r="284" spans="1:22">
      <c r="A284" s="81">
        <v>850038082710</v>
      </c>
      <c r="B284" t="s">
        <v>559</v>
      </c>
      <c r="C284">
        <v>0</v>
      </c>
      <c r="D284" t="s">
        <v>238</v>
      </c>
      <c r="F284">
        <v>0</v>
      </c>
      <c r="G284" t="s">
        <v>259</v>
      </c>
      <c r="H284" s="83">
        <v>5040</v>
      </c>
      <c r="J284" t="s">
        <v>225</v>
      </c>
      <c r="K284" t="s">
        <v>225</v>
      </c>
      <c r="L284">
        <v>5</v>
      </c>
      <c r="M284">
        <v>5</v>
      </c>
      <c r="N284">
        <v>5</v>
      </c>
      <c r="O284">
        <v>5</v>
      </c>
      <c r="Q284">
        <v>0</v>
      </c>
      <c r="R284">
        <v>48</v>
      </c>
      <c r="S284">
        <v>4.8000000000000001E-2</v>
      </c>
      <c r="T284">
        <v>0</v>
      </c>
      <c r="V284" t="s">
        <v>225</v>
      </c>
    </row>
    <row r="285" spans="1:22">
      <c r="A285" s="81">
        <v>850038082727</v>
      </c>
      <c r="B285" t="s">
        <v>560</v>
      </c>
      <c r="C285">
        <v>0</v>
      </c>
      <c r="D285" t="s">
        <v>238</v>
      </c>
      <c r="F285">
        <v>0</v>
      </c>
      <c r="G285" t="s">
        <v>280</v>
      </c>
      <c r="H285">
        <v>0</v>
      </c>
      <c r="J285" t="s">
        <v>225</v>
      </c>
      <c r="K285" t="s">
        <v>225</v>
      </c>
      <c r="L285">
        <v>5</v>
      </c>
      <c r="M285">
        <v>5</v>
      </c>
      <c r="N285">
        <v>5</v>
      </c>
      <c r="O285">
        <v>5</v>
      </c>
      <c r="Q285">
        <v>0</v>
      </c>
      <c r="R285">
        <v>48</v>
      </c>
      <c r="S285">
        <v>1.7999999999999999E-2</v>
      </c>
      <c r="T285">
        <v>0</v>
      </c>
      <c r="V285" t="s">
        <v>225</v>
      </c>
    </row>
    <row r="286" spans="1:22">
      <c r="A286" s="81">
        <v>859886007043</v>
      </c>
      <c r="B286" t="s">
        <v>561</v>
      </c>
      <c r="C286">
        <v>122</v>
      </c>
      <c r="D286" t="s">
        <v>250</v>
      </c>
      <c r="E286" s="82">
        <v>45951</v>
      </c>
      <c r="F286">
        <v>0</v>
      </c>
      <c r="G286" t="s">
        <v>251</v>
      </c>
      <c r="H286">
        <v>0</v>
      </c>
      <c r="J286" t="s">
        <v>225</v>
      </c>
      <c r="K286" t="s">
        <v>225</v>
      </c>
      <c r="L286">
        <v>5</v>
      </c>
      <c r="M286">
        <v>5</v>
      </c>
      <c r="N286">
        <v>5</v>
      </c>
      <c r="O286">
        <v>5</v>
      </c>
      <c r="Q286">
        <v>0</v>
      </c>
      <c r="R286">
        <v>36</v>
      </c>
      <c r="S286">
        <v>7.3999999999999996E-2</v>
      </c>
      <c r="T286">
        <v>0</v>
      </c>
      <c r="V286" t="s">
        <v>225</v>
      </c>
    </row>
    <row r="287" spans="1:22">
      <c r="A287" s="81">
        <v>859886007449</v>
      </c>
      <c r="B287" t="s">
        <v>562</v>
      </c>
      <c r="C287">
        <v>0</v>
      </c>
      <c r="E287" s="82">
        <v>45656</v>
      </c>
      <c r="F287">
        <v>0</v>
      </c>
      <c r="G287" t="s">
        <v>251</v>
      </c>
      <c r="H287">
        <v>0</v>
      </c>
      <c r="J287" t="s">
        <v>225</v>
      </c>
      <c r="K287" t="s">
        <v>225</v>
      </c>
      <c r="L287">
        <v>5</v>
      </c>
      <c r="M287">
        <v>5</v>
      </c>
      <c r="N287">
        <v>5</v>
      </c>
      <c r="O287">
        <v>5</v>
      </c>
      <c r="Q287">
        <v>6</v>
      </c>
      <c r="R287">
        <v>24</v>
      </c>
      <c r="S287">
        <v>7.0000000000000007E-2</v>
      </c>
      <c r="T287">
        <v>0</v>
      </c>
      <c r="V287" t="s">
        <v>225</v>
      </c>
    </row>
    <row r="288" spans="1:22">
      <c r="A288" s="81" t="s">
        <v>563</v>
      </c>
      <c r="B288" t="s">
        <v>564</v>
      </c>
      <c r="C288">
        <v>0</v>
      </c>
      <c r="E288" s="82">
        <v>44452</v>
      </c>
      <c r="F288">
        <v>0</v>
      </c>
      <c r="G288" t="s">
        <v>276</v>
      </c>
      <c r="H288">
        <v>0</v>
      </c>
      <c r="J288" t="s">
        <v>225</v>
      </c>
      <c r="K288" t="s">
        <v>225</v>
      </c>
      <c r="Q288">
        <v>6</v>
      </c>
      <c r="R288">
        <v>24</v>
      </c>
      <c r="S288">
        <v>0</v>
      </c>
      <c r="T288">
        <v>0</v>
      </c>
      <c r="V288" t="s">
        <v>226</v>
      </c>
    </row>
    <row r="289" spans="1:22">
      <c r="A289" s="81">
        <v>859886007661</v>
      </c>
      <c r="B289" t="s">
        <v>565</v>
      </c>
      <c r="C289">
        <v>0</v>
      </c>
      <c r="E289" s="82">
        <v>45187</v>
      </c>
      <c r="F289">
        <v>0</v>
      </c>
      <c r="G289" t="s">
        <v>251</v>
      </c>
      <c r="H289">
        <v>0</v>
      </c>
      <c r="J289" t="s">
        <v>225</v>
      </c>
      <c r="K289" t="s">
        <v>225</v>
      </c>
      <c r="L289">
        <v>5</v>
      </c>
      <c r="M289">
        <v>5</v>
      </c>
      <c r="N289">
        <v>5</v>
      </c>
      <c r="O289">
        <v>5</v>
      </c>
      <c r="Q289">
        <v>0</v>
      </c>
      <c r="R289">
        <v>24</v>
      </c>
      <c r="S289">
        <v>4.9000000000000002E-2</v>
      </c>
      <c r="T289">
        <v>0</v>
      </c>
      <c r="V289" t="s">
        <v>225</v>
      </c>
    </row>
    <row r="290" spans="1:22">
      <c r="A290" s="81">
        <v>859886007685</v>
      </c>
      <c r="B290" t="s">
        <v>107</v>
      </c>
      <c r="C290" s="83">
        <v>4706</v>
      </c>
      <c r="D290" t="s">
        <v>250</v>
      </c>
      <c r="E290" s="82">
        <v>46100</v>
      </c>
      <c r="F290">
        <v>4</v>
      </c>
      <c r="G290" t="s">
        <v>310</v>
      </c>
      <c r="H290" s="83">
        <v>2016</v>
      </c>
      <c r="J290" t="s">
        <v>225</v>
      </c>
      <c r="K290" t="s">
        <v>225</v>
      </c>
      <c r="L290">
        <v>5</v>
      </c>
      <c r="M290">
        <v>5</v>
      </c>
      <c r="N290">
        <v>5</v>
      </c>
      <c r="O290">
        <v>5</v>
      </c>
      <c r="Q290">
        <v>12</v>
      </c>
      <c r="R290">
        <v>36</v>
      </c>
      <c r="S290">
        <v>0.01</v>
      </c>
      <c r="T290">
        <v>0</v>
      </c>
      <c r="V290" t="s">
        <v>225</v>
      </c>
    </row>
    <row r="291" spans="1:22">
      <c r="A291" s="81">
        <v>859886007692</v>
      </c>
      <c r="B291" t="s">
        <v>106</v>
      </c>
      <c r="C291" s="83">
        <v>1803</v>
      </c>
      <c r="D291" t="s">
        <v>250</v>
      </c>
      <c r="E291" s="82">
        <v>46099</v>
      </c>
      <c r="F291">
        <v>7</v>
      </c>
      <c r="G291" t="s">
        <v>310</v>
      </c>
      <c r="H291" s="83">
        <v>1116</v>
      </c>
      <c r="J291" t="s">
        <v>225</v>
      </c>
      <c r="K291" t="s">
        <v>225</v>
      </c>
      <c r="L291">
        <v>5</v>
      </c>
      <c r="M291">
        <v>5</v>
      </c>
      <c r="N291">
        <v>5</v>
      </c>
      <c r="O291">
        <v>5</v>
      </c>
      <c r="Q291">
        <v>12</v>
      </c>
      <c r="R291">
        <v>36</v>
      </c>
      <c r="S291">
        <v>0.01</v>
      </c>
      <c r="T291">
        <v>0</v>
      </c>
      <c r="V291" t="s">
        <v>225</v>
      </c>
    </row>
    <row r="292" spans="1:22">
      <c r="A292" s="81">
        <v>859886007708</v>
      </c>
      <c r="B292" t="s">
        <v>566</v>
      </c>
      <c r="C292" s="83">
        <v>3569</v>
      </c>
      <c r="D292" t="s">
        <v>250</v>
      </c>
      <c r="E292" s="82">
        <v>46099</v>
      </c>
      <c r="F292">
        <v>9</v>
      </c>
      <c r="G292" t="s">
        <v>310</v>
      </c>
      <c r="H292">
        <v>936</v>
      </c>
      <c r="J292" t="s">
        <v>225</v>
      </c>
      <c r="K292" t="s">
        <v>225</v>
      </c>
      <c r="L292">
        <v>5</v>
      </c>
      <c r="M292">
        <v>5</v>
      </c>
      <c r="N292">
        <v>5</v>
      </c>
      <c r="O292">
        <v>5</v>
      </c>
      <c r="Q292">
        <v>12</v>
      </c>
      <c r="R292">
        <v>36</v>
      </c>
      <c r="S292">
        <v>0.01</v>
      </c>
      <c r="T292">
        <v>0</v>
      </c>
      <c r="V292" t="s">
        <v>225</v>
      </c>
    </row>
    <row r="293" spans="1:22">
      <c r="A293" s="81">
        <v>859886007715</v>
      </c>
      <c r="B293" t="s">
        <v>567</v>
      </c>
      <c r="C293" s="83">
        <v>4668</v>
      </c>
      <c r="D293" t="s">
        <v>250</v>
      </c>
      <c r="E293" s="82">
        <v>46022</v>
      </c>
      <c r="F293">
        <v>1</v>
      </c>
      <c r="G293" t="s">
        <v>310</v>
      </c>
      <c r="H293">
        <v>0</v>
      </c>
      <c r="J293" t="s">
        <v>225</v>
      </c>
      <c r="K293" t="s">
        <v>225</v>
      </c>
      <c r="L293">
        <v>5</v>
      </c>
      <c r="M293">
        <v>5</v>
      </c>
      <c r="N293">
        <v>5</v>
      </c>
      <c r="O293">
        <v>5</v>
      </c>
      <c r="Q293">
        <v>12</v>
      </c>
      <c r="R293">
        <v>36</v>
      </c>
      <c r="S293">
        <v>0.01</v>
      </c>
      <c r="T293">
        <v>0</v>
      </c>
      <c r="V293" t="s">
        <v>225</v>
      </c>
    </row>
    <row r="294" spans="1:22">
      <c r="A294" s="81">
        <v>859886007722</v>
      </c>
      <c r="B294" t="s">
        <v>568</v>
      </c>
      <c r="C294" s="83">
        <v>2071</v>
      </c>
      <c r="D294" t="s">
        <v>250</v>
      </c>
      <c r="E294" s="82">
        <v>46035</v>
      </c>
      <c r="F294">
        <v>2</v>
      </c>
      <c r="G294" t="s">
        <v>251</v>
      </c>
      <c r="H294">
        <v>0</v>
      </c>
      <c r="J294" t="s">
        <v>225</v>
      </c>
      <c r="K294" t="s">
        <v>225</v>
      </c>
      <c r="L294">
        <v>5</v>
      </c>
      <c r="M294">
        <v>5</v>
      </c>
      <c r="N294">
        <v>5</v>
      </c>
      <c r="O294">
        <v>5</v>
      </c>
      <c r="Q294">
        <v>12</v>
      </c>
      <c r="R294">
        <v>36</v>
      </c>
      <c r="S294">
        <v>0.01</v>
      </c>
      <c r="T294">
        <v>0</v>
      </c>
      <c r="V294" t="s">
        <v>225</v>
      </c>
    </row>
    <row r="295" spans="1:22">
      <c r="A295" s="81">
        <v>859886007739</v>
      </c>
      <c r="B295" t="s">
        <v>569</v>
      </c>
      <c r="C295">
        <v>712</v>
      </c>
      <c r="D295" t="s">
        <v>250</v>
      </c>
      <c r="E295" s="82">
        <v>45910</v>
      </c>
      <c r="F295">
        <v>1</v>
      </c>
      <c r="G295" t="s">
        <v>251</v>
      </c>
      <c r="H295">
        <v>0</v>
      </c>
      <c r="J295" t="s">
        <v>225</v>
      </c>
      <c r="K295" t="s">
        <v>225</v>
      </c>
      <c r="L295">
        <v>5</v>
      </c>
      <c r="M295">
        <v>5</v>
      </c>
      <c r="N295">
        <v>5</v>
      </c>
      <c r="O295">
        <v>5</v>
      </c>
      <c r="Q295">
        <v>6</v>
      </c>
      <c r="R295">
        <v>36</v>
      </c>
      <c r="S295">
        <v>0.01</v>
      </c>
      <c r="T295">
        <v>0</v>
      </c>
      <c r="V295" t="s">
        <v>225</v>
      </c>
    </row>
    <row r="296" spans="1:22">
      <c r="A296" s="81">
        <v>859886007746</v>
      </c>
      <c r="B296" t="s">
        <v>570</v>
      </c>
      <c r="C296">
        <v>740</v>
      </c>
      <c r="D296" t="s">
        <v>250</v>
      </c>
      <c r="E296" s="82">
        <v>44484</v>
      </c>
      <c r="F296">
        <v>0</v>
      </c>
      <c r="G296" t="s">
        <v>251</v>
      </c>
      <c r="H296">
        <v>0</v>
      </c>
      <c r="J296" t="s">
        <v>225</v>
      </c>
      <c r="K296" t="s">
        <v>225</v>
      </c>
      <c r="L296">
        <v>5</v>
      </c>
      <c r="M296">
        <v>5</v>
      </c>
      <c r="N296">
        <v>5</v>
      </c>
      <c r="O296">
        <v>5</v>
      </c>
      <c r="Q296">
        <v>0</v>
      </c>
      <c r="R296">
        <v>36</v>
      </c>
      <c r="S296">
        <v>0.01</v>
      </c>
      <c r="T296">
        <v>0</v>
      </c>
      <c r="V296" t="s">
        <v>225</v>
      </c>
    </row>
    <row r="297" spans="1:22">
      <c r="A297" s="81">
        <v>859886007753</v>
      </c>
      <c r="B297" t="s">
        <v>571</v>
      </c>
      <c r="C297" s="83">
        <v>1282</v>
      </c>
      <c r="D297" t="s">
        <v>250</v>
      </c>
      <c r="E297" s="82">
        <v>45316</v>
      </c>
      <c r="F297">
        <v>0</v>
      </c>
      <c r="G297" t="s">
        <v>251</v>
      </c>
      <c r="H297">
        <v>0</v>
      </c>
      <c r="J297" t="s">
        <v>225</v>
      </c>
      <c r="K297" t="s">
        <v>225</v>
      </c>
      <c r="L297">
        <v>5</v>
      </c>
      <c r="M297">
        <v>5</v>
      </c>
      <c r="N297">
        <v>5</v>
      </c>
      <c r="O297">
        <v>5</v>
      </c>
      <c r="Q297">
        <v>6</v>
      </c>
      <c r="R297">
        <v>36</v>
      </c>
      <c r="S297">
        <v>0.01</v>
      </c>
      <c r="T297">
        <v>0</v>
      </c>
      <c r="V297" t="s">
        <v>225</v>
      </c>
    </row>
    <row r="298" spans="1:22">
      <c r="A298" s="81">
        <v>859886007791</v>
      </c>
      <c r="B298" t="s">
        <v>108</v>
      </c>
      <c r="C298" s="83">
        <v>1857</v>
      </c>
      <c r="D298" t="s">
        <v>250</v>
      </c>
      <c r="E298" s="82">
        <v>45856</v>
      </c>
      <c r="F298">
        <v>0</v>
      </c>
      <c r="G298" t="s">
        <v>259</v>
      </c>
      <c r="H298">
        <v>0</v>
      </c>
      <c r="J298" t="s">
        <v>225</v>
      </c>
      <c r="K298" t="s">
        <v>225</v>
      </c>
      <c r="L298">
        <v>5</v>
      </c>
      <c r="M298">
        <v>5</v>
      </c>
      <c r="N298">
        <v>5</v>
      </c>
      <c r="O298">
        <v>5</v>
      </c>
      <c r="Q298">
        <v>12</v>
      </c>
      <c r="R298">
        <v>36</v>
      </c>
      <c r="S298">
        <v>0.02</v>
      </c>
      <c r="T298">
        <v>0</v>
      </c>
      <c r="V298" t="s">
        <v>225</v>
      </c>
    </row>
    <row r="299" spans="1:22">
      <c r="A299" s="81">
        <v>859886007807</v>
      </c>
      <c r="B299" t="s">
        <v>572</v>
      </c>
      <c r="C299">
        <v>120</v>
      </c>
      <c r="D299" t="s">
        <v>250</v>
      </c>
      <c r="E299" s="82">
        <v>45693</v>
      </c>
      <c r="F299">
        <v>0</v>
      </c>
      <c r="G299" t="s">
        <v>251</v>
      </c>
      <c r="H299">
        <v>0</v>
      </c>
      <c r="J299" t="s">
        <v>225</v>
      </c>
      <c r="K299" t="s">
        <v>225</v>
      </c>
      <c r="L299">
        <v>5</v>
      </c>
      <c r="M299">
        <v>5</v>
      </c>
      <c r="N299">
        <v>5</v>
      </c>
      <c r="O299">
        <v>5</v>
      </c>
      <c r="Q299">
        <v>12</v>
      </c>
      <c r="R299">
        <v>36</v>
      </c>
      <c r="S299">
        <v>0.02</v>
      </c>
      <c r="T299">
        <v>0</v>
      </c>
      <c r="V299" t="s">
        <v>225</v>
      </c>
    </row>
    <row r="300" spans="1:22">
      <c r="A300" s="81">
        <v>859886007814</v>
      </c>
      <c r="B300" t="s">
        <v>573</v>
      </c>
      <c r="C300">
        <v>171</v>
      </c>
      <c r="D300" t="s">
        <v>250</v>
      </c>
      <c r="E300" s="82">
        <v>46022</v>
      </c>
      <c r="F300">
        <v>1</v>
      </c>
      <c r="G300" t="s">
        <v>251</v>
      </c>
      <c r="H300">
        <v>0</v>
      </c>
      <c r="J300" t="s">
        <v>225</v>
      </c>
      <c r="K300" t="s">
        <v>225</v>
      </c>
      <c r="L300">
        <v>5</v>
      </c>
      <c r="M300">
        <v>5</v>
      </c>
      <c r="N300">
        <v>5</v>
      </c>
      <c r="O300">
        <v>5</v>
      </c>
      <c r="Q300">
        <v>6</v>
      </c>
      <c r="R300">
        <v>36</v>
      </c>
      <c r="S300">
        <v>0.02</v>
      </c>
      <c r="T300">
        <v>0</v>
      </c>
      <c r="V300" t="s">
        <v>225</v>
      </c>
    </row>
    <row r="301" spans="1:22">
      <c r="A301" s="81">
        <v>860021001109</v>
      </c>
      <c r="B301" t="s">
        <v>574</v>
      </c>
      <c r="C301" s="83">
        <v>4982</v>
      </c>
      <c r="D301" t="s">
        <v>238</v>
      </c>
      <c r="E301" s="82">
        <v>45526</v>
      </c>
      <c r="F301">
        <v>0</v>
      </c>
      <c r="G301" t="s">
        <v>251</v>
      </c>
      <c r="H301">
        <v>0</v>
      </c>
      <c r="J301" t="s">
        <v>225</v>
      </c>
      <c r="K301" t="s">
        <v>225</v>
      </c>
      <c r="L301">
        <v>5</v>
      </c>
      <c r="M301">
        <v>5</v>
      </c>
      <c r="N301">
        <v>5</v>
      </c>
      <c r="O301">
        <v>5</v>
      </c>
      <c r="Q301">
        <v>1</v>
      </c>
      <c r="R301">
        <v>12</v>
      </c>
      <c r="S301">
        <v>0.02</v>
      </c>
      <c r="T301">
        <v>0</v>
      </c>
      <c r="V301" t="s">
        <v>225</v>
      </c>
    </row>
    <row r="302" spans="1:22">
      <c r="A302" s="81">
        <v>860021001116</v>
      </c>
      <c r="B302" t="s">
        <v>575</v>
      </c>
      <c r="C302" s="83">
        <v>1135</v>
      </c>
      <c r="D302" t="s">
        <v>238</v>
      </c>
      <c r="E302" s="82">
        <v>46022</v>
      </c>
      <c r="F302">
        <v>0</v>
      </c>
      <c r="G302" t="s">
        <v>251</v>
      </c>
      <c r="H302">
        <v>0</v>
      </c>
      <c r="J302" t="s">
        <v>225</v>
      </c>
      <c r="K302" t="s">
        <v>225</v>
      </c>
      <c r="L302">
        <v>5</v>
      </c>
      <c r="M302">
        <v>5</v>
      </c>
      <c r="N302">
        <v>5</v>
      </c>
      <c r="O302">
        <v>5</v>
      </c>
      <c r="Q302">
        <v>1</v>
      </c>
      <c r="R302">
        <v>12</v>
      </c>
      <c r="S302">
        <v>7.0000000000000007E-2</v>
      </c>
      <c r="T302">
        <v>0</v>
      </c>
      <c r="V302" t="s">
        <v>225</v>
      </c>
    </row>
    <row r="303" spans="1:22">
      <c r="A303" s="81">
        <v>860021001123</v>
      </c>
      <c r="B303" t="s">
        <v>576</v>
      </c>
      <c r="C303" s="83">
        <v>16679</v>
      </c>
      <c r="D303" t="s">
        <v>238</v>
      </c>
      <c r="E303" s="82">
        <v>46069</v>
      </c>
      <c r="F303">
        <v>72</v>
      </c>
      <c r="G303" t="s">
        <v>310</v>
      </c>
      <c r="H303">
        <v>0</v>
      </c>
      <c r="J303" t="s">
        <v>225</v>
      </c>
      <c r="K303" t="s">
        <v>225</v>
      </c>
      <c r="L303">
        <v>5</v>
      </c>
      <c r="M303">
        <v>5</v>
      </c>
      <c r="N303">
        <v>5</v>
      </c>
      <c r="O303">
        <v>5</v>
      </c>
      <c r="Q303">
        <v>0</v>
      </c>
      <c r="R303">
        <v>12</v>
      </c>
      <c r="S303">
        <v>1.2999999999999999E-2</v>
      </c>
      <c r="T303">
        <v>0</v>
      </c>
      <c r="V303" t="s">
        <v>225</v>
      </c>
    </row>
    <row r="304" spans="1:22">
      <c r="A304" s="81">
        <v>860021001130</v>
      </c>
      <c r="B304" t="s">
        <v>577</v>
      </c>
      <c r="C304" s="83">
        <v>14271</v>
      </c>
      <c r="D304" t="s">
        <v>238</v>
      </c>
      <c r="E304" s="82">
        <v>46009</v>
      </c>
      <c r="F304">
        <v>0</v>
      </c>
      <c r="G304" t="s">
        <v>251</v>
      </c>
      <c r="H304">
        <v>0</v>
      </c>
      <c r="J304" t="s">
        <v>225</v>
      </c>
      <c r="K304" t="s">
        <v>225</v>
      </c>
      <c r="L304">
        <v>5</v>
      </c>
      <c r="M304">
        <v>5</v>
      </c>
      <c r="N304">
        <v>5</v>
      </c>
      <c r="O304">
        <v>5</v>
      </c>
      <c r="Q304">
        <v>0</v>
      </c>
      <c r="R304">
        <v>12</v>
      </c>
      <c r="S304">
        <v>0.02</v>
      </c>
      <c r="T304">
        <v>0</v>
      </c>
      <c r="V304" t="s">
        <v>225</v>
      </c>
    </row>
    <row r="305" spans="1:22">
      <c r="A305" s="81">
        <v>860021001147</v>
      </c>
      <c r="B305" t="s">
        <v>578</v>
      </c>
      <c r="C305">
        <v>284</v>
      </c>
      <c r="D305" t="s">
        <v>238</v>
      </c>
      <c r="E305" s="82">
        <v>45834</v>
      </c>
      <c r="F305">
        <v>0</v>
      </c>
      <c r="G305" t="s">
        <v>251</v>
      </c>
      <c r="H305">
        <v>0</v>
      </c>
      <c r="J305" t="s">
        <v>225</v>
      </c>
      <c r="K305" t="s">
        <v>225</v>
      </c>
      <c r="L305">
        <v>5</v>
      </c>
      <c r="M305">
        <v>5</v>
      </c>
      <c r="N305">
        <v>5</v>
      </c>
      <c r="O305">
        <v>5</v>
      </c>
      <c r="Q305">
        <v>1</v>
      </c>
      <c r="R305">
        <v>12</v>
      </c>
      <c r="S305">
        <v>0.03</v>
      </c>
      <c r="T305">
        <v>0</v>
      </c>
      <c r="V305" t="s">
        <v>225</v>
      </c>
    </row>
    <row r="306" spans="1:22">
      <c r="A306" s="81">
        <v>860021001154</v>
      </c>
      <c r="B306" t="s">
        <v>579</v>
      </c>
      <c r="C306" s="83">
        <v>1213</v>
      </c>
      <c r="D306" t="s">
        <v>238</v>
      </c>
      <c r="E306" s="82">
        <v>46022</v>
      </c>
      <c r="F306">
        <v>0</v>
      </c>
      <c r="G306" t="s">
        <v>310</v>
      </c>
      <c r="H306">
        <v>0</v>
      </c>
      <c r="J306" t="s">
        <v>225</v>
      </c>
      <c r="K306" t="s">
        <v>225</v>
      </c>
      <c r="L306">
        <v>5</v>
      </c>
      <c r="M306">
        <v>5</v>
      </c>
      <c r="N306">
        <v>5</v>
      </c>
      <c r="O306">
        <v>5</v>
      </c>
      <c r="Q306">
        <v>1</v>
      </c>
      <c r="R306">
        <v>12</v>
      </c>
      <c r="S306">
        <v>0.02</v>
      </c>
      <c r="T306">
        <v>0</v>
      </c>
      <c r="V306" t="s">
        <v>225</v>
      </c>
    </row>
    <row r="307" spans="1:22">
      <c r="A307" s="81">
        <v>860021001161</v>
      </c>
      <c r="B307" t="s">
        <v>580</v>
      </c>
      <c r="C307" s="83">
        <v>3247</v>
      </c>
      <c r="D307" t="s">
        <v>238</v>
      </c>
      <c r="E307" s="82">
        <v>46065</v>
      </c>
      <c r="F307">
        <v>348</v>
      </c>
      <c r="G307" t="s">
        <v>310</v>
      </c>
      <c r="H307" s="83">
        <v>2028</v>
      </c>
      <c r="J307" t="s">
        <v>225</v>
      </c>
      <c r="K307" t="s">
        <v>225</v>
      </c>
      <c r="L307">
        <v>5</v>
      </c>
      <c r="M307">
        <v>5</v>
      </c>
      <c r="N307">
        <v>5</v>
      </c>
      <c r="O307">
        <v>5</v>
      </c>
      <c r="Q307">
        <v>0</v>
      </c>
      <c r="R307">
        <v>12</v>
      </c>
      <c r="S307">
        <v>0.02</v>
      </c>
      <c r="T307">
        <v>0</v>
      </c>
      <c r="V307" t="s">
        <v>225</v>
      </c>
    </row>
    <row r="308" spans="1:22">
      <c r="A308" s="81">
        <v>860021001178</v>
      </c>
      <c r="B308" t="s">
        <v>581</v>
      </c>
      <c r="C308" s="83">
        <v>2108</v>
      </c>
      <c r="D308" t="s">
        <v>238</v>
      </c>
      <c r="E308" s="82">
        <v>46090</v>
      </c>
      <c r="F308">
        <v>1</v>
      </c>
      <c r="G308" t="s">
        <v>259</v>
      </c>
      <c r="H308">
        <v>0</v>
      </c>
      <c r="J308" t="s">
        <v>225</v>
      </c>
      <c r="K308" t="s">
        <v>225</v>
      </c>
      <c r="L308">
        <v>5</v>
      </c>
      <c r="M308">
        <v>5</v>
      </c>
      <c r="N308">
        <v>5</v>
      </c>
      <c r="O308">
        <v>5</v>
      </c>
      <c r="Q308">
        <v>0</v>
      </c>
      <c r="R308">
        <v>12</v>
      </c>
      <c r="S308">
        <v>0.03</v>
      </c>
      <c r="T308">
        <v>0</v>
      </c>
      <c r="V308" t="s">
        <v>225</v>
      </c>
    </row>
    <row r="309" spans="1:22">
      <c r="A309" s="81">
        <v>860021001185</v>
      </c>
      <c r="B309" t="s">
        <v>582</v>
      </c>
      <c r="C309" s="83">
        <v>3332</v>
      </c>
      <c r="D309" t="s">
        <v>238</v>
      </c>
      <c r="E309" s="82">
        <v>46098</v>
      </c>
      <c r="F309">
        <v>204</v>
      </c>
      <c r="G309" t="s">
        <v>259</v>
      </c>
      <c r="H309" s="83">
        <v>4668</v>
      </c>
      <c r="J309" t="s">
        <v>225</v>
      </c>
      <c r="K309" t="s">
        <v>225</v>
      </c>
      <c r="L309">
        <v>5</v>
      </c>
      <c r="M309">
        <v>5</v>
      </c>
      <c r="N309">
        <v>5</v>
      </c>
      <c r="O309">
        <v>5</v>
      </c>
      <c r="Q309">
        <v>0</v>
      </c>
      <c r="R309">
        <v>12</v>
      </c>
      <c r="S309">
        <v>0.03</v>
      </c>
      <c r="T309">
        <v>0</v>
      </c>
      <c r="V309" t="s">
        <v>225</v>
      </c>
    </row>
    <row r="310" spans="1:22">
      <c r="A310" s="81">
        <v>860021001192</v>
      </c>
      <c r="B310" t="s">
        <v>583</v>
      </c>
      <c r="C310">
        <v>8</v>
      </c>
      <c r="D310" t="s">
        <v>238</v>
      </c>
      <c r="E310" s="82">
        <v>46022</v>
      </c>
      <c r="F310">
        <v>0</v>
      </c>
      <c r="G310" t="s">
        <v>251</v>
      </c>
      <c r="H310">
        <v>0</v>
      </c>
      <c r="J310" t="s">
        <v>225</v>
      </c>
      <c r="K310" t="s">
        <v>225</v>
      </c>
      <c r="L310">
        <v>5</v>
      </c>
      <c r="M310">
        <v>5</v>
      </c>
      <c r="N310">
        <v>5</v>
      </c>
      <c r="O310">
        <v>5</v>
      </c>
      <c r="Q310">
        <v>0</v>
      </c>
      <c r="R310">
        <v>12</v>
      </c>
      <c r="S310">
        <v>0.02</v>
      </c>
      <c r="T310">
        <v>0</v>
      </c>
      <c r="V310" t="s">
        <v>225</v>
      </c>
    </row>
    <row r="311" spans="1:22">
      <c r="A311" s="81">
        <v>91489</v>
      </c>
      <c r="C311">
        <v>0</v>
      </c>
      <c r="F311">
        <v>0</v>
      </c>
      <c r="H311">
        <v>0</v>
      </c>
      <c r="J311" t="s">
        <v>225</v>
      </c>
      <c r="K311" t="s">
        <v>225</v>
      </c>
      <c r="Q311">
        <v>0</v>
      </c>
      <c r="R311">
        <v>0</v>
      </c>
      <c r="S311">
        <v>0</v>
      </c>
      <c r="T311">
        <v>0</v>
      </c>
      <c r="V311" t="s">
        <v>225</v>
      </c>
    </row>
    <row r="312" spans="1:22">
      <c r="A312" s="81">
        <v>9357253200</v>
      </c>
      <c r="B312" t="s">
        <v>584</v>
      </c>
      <c r="C312">
        <v>0</v>
      </c>
      <c r="F312">
        <v>0</v>
      </c>
      <c r="H312">
        <v>0</v>
      </c>
      <c r="J312" t="s">
        <v>225</v>
      </c>
      <c r="K312" t="s">
        <v>225</v>
      </c>
      <c r="Q312">
        <v>0</v>
      </c>
      <c r="R312">
        <v>0</v>
      </c>
      <c r="S312">
        <v>0</v>
      </c>
      <c r="T312">
        <v>0</v>
      </c>
      <c r="V312" t="s">
        <v>225</v>
      </c>
    </row>
    <row r="313" spans="1:22">
      <c r="A313" s="81">
        <v>9950001</v>
      </c>
      <c r="B313" t="s">
        <v>585</v>
      </c>
      <c r="C313">
        <v>0</v>
      </c>
      <c r="D313" t="s">
        <v>323</v>
      </c>
      <c r="E313" s="82">
        <v>45811</v>
      </c>
      <c r="F313">
        <v>0</v>
      </c>
      <c r="G313" t="s">
        <v>276</v>
      </c>
      <c r="H313">
        <v>0</v>
      </c>
      <c r="J313" t="s">
        <v>225</v>
      </c>
      <c r="K313" t="s">
        <v>225</v>
      </c>
      <c r="L313">
        <v>5</v>
      </c>
      <c r="M313">
        <v>5</v>
      </c>
      <c r="N313">
        <v>5</v>
      </c>
      <c r="Q313">
        <v>0</v>
      </c>
      <c r="R313">
        <v>0</v>
      </c>
      <c r="S313">
        <v>5.6000000000000001E-2</v>
      </c>
      <c r="T313">
        <v>0</v>
      </c>
      <c r="V313" t="s">
        <v>225</v>
      </c>
    </row>
    <row r="314" spans="1:22">
      <c r="A314" s="81">
        <v>9950002</v>
      </c>
      <c r="B314" t="s">
        <v>586</v>
      </c>
      <c r="C314">
        <v>0</v>
      </c>
      <c r="D314" t="s">
        <v>323</v>
      </c>
      <c r="E314" s="82">
        <v>45811</v>
      </c>
      <c r="F314">
        <v>0</v>
      </c>
      <c r="G314" t="s">
        <v>276</v>
      </c>
      <c r="H314">
        <v>0</v>
      </c>
      <c r="J314" t="s">
        <v>225</v>
      </c>
      <c r="K314" t="s">
        <v>225</v>
      </c>
      <c r="L314">
        <v>5</v>
      </c>
      <c r="M314">
        <v>5</v>
      </c>
      <c r="N314">
        <v>5</v>
      </c>
      <c r="Q314">
        <v>0</v>
      </c>
      <c r="R314">
        <v>0</v>
      </c>
      <c r="S314">
        <v>4.3999999999999997E-2</v>
      </c>
      <c r="T314">
        <v>0</v>
      </c>
      <c r="V314" t="s">
        <v>225</v>
      </c>
    </row>
    <row r="315" spans="1:22">
      <c r="A315" s="81">
        <v>9950003</v>
      </c>
      <c r="B315" t="s">
        <v>587</v>
      </c>
      <c r="C315">
        <v>0</v>
      </c>
      <c r="D315" t="s">
        <v>323</v>
      </c>
      <c r="E315" s="82">
        <v>45811</v>
      </c>
      <c r="F315">
        <v>0</v>
      </c>
      <c r="G315" t="s">
        <v>276</v>
      </c>
      <c r="H315">
        <v>0</v>
      </c>
      <c r="J315" t="s">
        <v>225</v>
      </c>
      <c r="K315" t="s">
        <v>225</v>
      </c>
      <c r="L315">
        <v>5</v>
      </c>
      <c r="M315">
        <v>5</v>
      </c>
      <c r="N315">
        <v>5</v>
      </c>
      <c r="Q315">
        <v>0</v>
      </c>
      <c r="R315">
        <v>0</v>
      </c>
      <c r="S315">
        <v>0.04</v>
      </c>
      <c r="T315">
        <v>0</v>
      </c>
      <c r="V315" t="s">
        <v>225</v>
      </c>
    </row>
    <row r="316" spans="1:22">
      <c r="A316" s="81">
        <v>9950004</v>
      </c>
      <c r="B316" t="s">
        <v>588</v>
      </c>
      <c r="C316">
        <v>0</v>
      </c>
      <c r="D316" t="s">
        <v>323</v>
      </c>
      <c r="E316" s="82">
        <v>45811</v>
      </c>
      <c r="F316">
        <v>0</v>
      </c>
      <c r="G316" t="s">
        <v>276</v>
      </c>
      <c r="H316">
        <v>0</v>
      </c>
      <c r="J316" t="s">
        <v>225</v>
      </c>
      <c r="K316" t="s">
        <v>225</v>
      </c>
      <c r="L316">
        <v>5</v>
      </c>
      <c r="M316">
        <v>5</v>
      </c>
      <c r="N316">
        <v>5</v>
      </c>
      <c r="Q316">
        <v>0</v>
      </c>
      <c r="R316">
        <v>0</v>
      </c>
      <c r="S316">
        <v>4.2999999999999997E-2</v>
      </c>
      <c r="T316">
        <v>0</v>
      </c>
      <c r="V316" t="s">
        <v>225</v>
      </c>
    </row>
    <row r="317" spans="1:22">
      <c r="A317" s="81">
        <v>9950005</v>
      </c>
      <c r="B317" t="s">
        <v>589</v>
      </c>
      <c r="C317">
        <v>0</v>
      </c>
      <c r="D317" t="s">
        <v>590</v>
      </c>
      <c r="E317" s="82">
        <v>45096</v>
      </c>
      <c r="F317">
        <v>0</v>
      </c>
      <c r="G317" t="s">
        <v>276</v>
      </c>
      <c r="H317">
        <v>0</v>
      </c>
      <c r="J317" t="s">
        <v>225</v>
      </c>
      <c r="K317" t="s">
        <v>225</v>
      </c>
      <c r="Q317">
        <v>0</v>
      </c>
      <c r="R317">
        <v>0</v>
      </c>
      <c r="S317">
        <v>0</v>
      </c>
      <c r="T317">
        <v>0</v>
      </c>
      <c r="V317" t="s">
        <v>225</v>
      </c>
    </row>
    <row r="318" spans="1:22">
      <c r="A318" s="81">
        <v>9950006</v>
      </c>
      <c r="B318" t="s">
        <v>591</v>
      </c>
      <c r="C318">
        <v>0</v>
      </c>
      <c r="D318" t="s">
        <v>590</v>
      </c>
      <c r="E318" s="82">
        <v>45096</v>
      </c>
      <c r="F318">
        <v>0</v>
      </c>
      <c r="G318" t="s">
        <v>276</v>
      </c>
      <c r="H318">
        <v>0</v>
      </c>
      <c r="J318" t="s">
        <v>225</v>
      </c>
      <c r="K318" t="s">
        <v>225</v>
      </c>
      <c r="Q318">
        <v>0</v>
      </c>
      <c r="R318">
        <v>0</v>
      </c>
      <c r="S318">
        <v>0</v>
      </c>
      <c r="T318">
        <v>0</v>
      </c>
      <c r="V318" t="s">
        <v>225</v>
      </c>
    </row>
    <row r="319" spans="1:22">
      <c r="A319" s="81">
        <v>9950007</v>
      </c>
      <c r="B319" t="s">
        <v>592</v>
      </c>
      <c r="C319">
        <v>0</v>
      </c>
      <c r="D319" t="s">
        <v>590</v>
      </c>
      <c r="E319" s="82">
        <v>45042</v>
      </c>
      <c r="F319">
        <v>0</v>
      </c>
      <c r="G319" t="s">
        <v>276</v>
      </c>
      <c r="H319">
        <v>0</v>
      </c>
      <c r="J319" t="s">
        <v>225</v>
      </c>
      <c r="K319" t="s">
        <v>225</v>
      </c>
      <c r="Q319">
        <v>0</v>
      </c>
      <c r="R319">
        <v>0</v>
      </c>
      <c r="S319">
        <v>0</v>
      </c>
      <c r="T319">
        <v>0</v>
      </c>
      <c r="V319" t="s">
        <v>225</v>
      </c>
    </row>
    <row r="320" spans="1:22">
      <c r="A320" s="81">
        <v>9960001</v>
      </c>
      <c r="B320" t="s">
        <v>593</v>
      </c>
      <c r="C320">
        <v>0</v>
      </c>
      <c r="D320" t="s">
        <v>323</v>
      </c>
      <c r="E320" s="82">
        <v>45811</v>
      </c>
      <c r="F320">
        <v>0</v>
      </c>
      <c r="G320" t="s">
        <v>276</v>
      </c>
      <c r="H320">
        <v>0</v>
      </c>
      <c r="J320" t="s">
        <v>225</v>
      </c>
      <c r="K320" t="s">
        <v>225</v>
      </c>
      <c r="L320">
        <v>5</v>
      </c>
      <c r="M320">
        <v>5</v>
      </c>
      <c r="N320">
        <v>5</v>
      </c>
      <c r="Q320">
        <v>0</v>
      </c>
      <c r="R320">
        <v>0</v>
      </c>
      <c r="S320">
        <v>0.88</v>
      </c>
      <c r="T320">
        <v>0</v>
      </c>
      <c r="V320" t="s">
        <v>225</v>
      </c>
    </row>
    <row r="321" spans="1:22">
      <c r="A321" s="81">
        <v>9960002</v>
      </c>
      <c r="B321" t="s">
        <v>594</v>
      </c>
      <c r="C321">
        <v>0</v>
      </c>
      <c r="D321" t="s">
        <v>323</v>
      </c>
      <c r="E321" s="82">
        <v>45811</v>
      </c>
      <c r="F321">
        <v>0</v>
      </c>
      <c r="G321" t="s">
        <v>276</v>
      </c>
      <c r="H321">
        <v>0</v>
      </c>
      <c r="J321" t="s">
        <v>225</v>
      </c>
      <c r="K321" t="s">
        <v>225</v>
      </c>
      <c r="L321">
        <v>5</v>
      </c>
      <c r="M321">
        <v>5</v>
      </c>
      <c r="N321">
        <v>5</v>
      </c>
      <c r="Q321">
        <v>0</v>
      </c>
      <c r="R321">
        <v>0</v>
      </c>
      <c r="S321">
        <v>5.8999999999999997E-2</v>
      </c>
      <c r="T321">
        <v>0</v>
      </c>
      <c r="V321" t="s">
        <v>225</v>
      </c>
    </row>
    <row r="322" spans="1:22">
      <c r="A322" s="81">
        <v>9980001</v>
      </c>
      <c r="B322" t="s">
        <v>595</v>
      </c>
      <c r="C322">
        <v>0</v>
      </c>
      <c r="D322" t="s">
        <v>323</v>
      </c>
      <c r="E322" s="82">
        <v>45811</v>
      </c>
      <c r="F322">
        <v>0</v>
      </c>
      <c r="G322" t="s">
        <v>276</v>
      </c>
      <c r="H322">
        <v>0</v>
      </c>
      <c r="J322" t="s">
        <v>225</v>
      </c>
      <c r="K322" t="s">
        <v>225</v>
      </c>
      <c r="L322">
        <v>5</v>
      </c>
      <c r="M322">
        <v>5</v>
      </c>
      <c r="N322">
        <v>5</v>
      </c>
      <c r="Q322">
        <v>0</v>
      </c>
      <c r="R322">
        <v>0</v>
      </c>
      <c r="S322">
        <v>5.2999999999999999E-2</v>
      </c>
      <c r="T322">
        <v>0</v>
      </c>
      <c r="V322" t="s">
        <v>225</v>
      </c>
    </row>
    <row r="323" spans="1:22">
      <c r="A323" s="81">
        <v>9980002</v>
      </c>
      <c r="B323" t="s">
        <v>596</v>
      </c>
      <c r="C323">
        <v>0</v>
      </c>
      <c r="D323" t="s">
        <v>323</v>
      </c>
      <c r="E323" s="82">
        <v>45811</v>
      </c>
      <c r="F323">
        <v>0</v>
      </c>
      <c r="G323" t="s">
        <v>276</v>
      </c>
      <c r="H323">
        <v>0</v>
      </c>
      <c r="J323" t="s">
        <v>225</v>
      </c>
      <c r="K323" t="s">
        <v>225</v>
      </c>
      <c r="L323">
        <v>5</v>
      </c>
      <c r="M323">
        <v>5</v>
      </c>
      <c r="N323">
        <v>5</v>
      </c>
      <c r="Q323">
        <v>0</v>
      </c>
      <c r="R323">
        <v>0</v>
      </c>
      <c r="S323">
        <v>8.5999999999999993E-2</v>
      </c>
      <c r="T323">
        <v>0</v>
      </c>
      <c r="V323" t="s">
        <v>225</v>
      </c>
    </row>
    <row r="324" spans="1:22">
      <c r="A324" s="81">
        <v>9990002</v>
      </c>
      <c r="B324" t="s">
        <v>597</v>
      </c>
      <c r="C324">
        <v>0</v>
      </c>
      <c r="E324" s="82">
        <v>44210</v>
      </c>
      <c r="F324">
        <v>0</v>
      </c>
      <c r="G324" t="s">
        <v>276</v>
      </c>
      <c r="H324">
        <v>0</v>
      </c>
      <c r="J324" t="s">
        <v>225</v>
      </c>
      <c r="K324" t="s">
        <v>225</v>
      </c>
      <c r="Q324">
        <v>0</v>
      </c>
      <c r="R324">
        <v>0</v>
      </c>
      <c r="S324">
        <v>0</v>
      </c>
      <c r="T324">
        <v>0</v>
      </c>
      <c r="V324" t="s">
        <v>225</v>
      </c>
    </row>
    <row r="325" spans="1:22">
      <c r="A325" s="81" t="s">
        <v>598</v>
      </c>
      <c r="B325" t="s">
        <v>597</v>
      </c>
      <c r="C325">
        <v>0</v>
      </c>
      <c r="F325">
        <v>0</v>
      </c>
      <c r="G325" t="s">
        <v>276</v>
      </c>
      <c r="H325">
        <v>0</v>
      </c>
      <c r="J325" t="s">
        <v>225</v>
      </c>
      <c r="K325" t="s">
        <v>225</v>
      </c>
      <c r="Q325">
        <v>0</v>
      </c>
      <c r="R325">
        <v>0</v>
      </c>
      <c r="S325">
        <v>0</v>
      </c>
      <c r="T325">
        <v>0</v>
      </c>
      <c r="V325" t="s">
        <v>225</v>
      </c>
    </row>
    <row r="326" spans="1:22">
      <c r="A326" s="81">
        <v>9990004</v>
      </c>
      <c r="B326" t="s">
        <v>599</v>
      </c>
      <c r="C326">
        <v>0</v>
      </c>
      <c r="D326" t="s">
        <v>393</v>
      </c>
      <c r="E326" s="82">
        <v>44110</v>
      </c>
      <c r="F326">
        <v>0</v>
      </c>
      <c r="G326" t="s">
        <v>276</v>
      </c>
      <c r="H326">
        <v>0</v>
      </c>
      <c r="J326" t="s">
        <v>225</v>
      </c>
      <c r="K326" t="s">
        <v>225</v>
      </c>
      <c r="Q326">
        <v>0</v>
      </c>
      <c r="R326">
        <v>0</v>
      </c>
      <c r="S326">
        <v>0</v>
      </c>
      <c r="T326">
        <v>0</v>
      </c>
      <c r="V326" t="s">
        <v>225</v>
      </c>
    </row>
    <row r="327" spans="1:22">
      <c r="A327" s="81">
        <v>9990009</v>
      </c>
      <c r="B327" t="s">
        <v>600</v>
      </c>
      <c r="C327">
        <v>0</v>
      </c>
      <c r="F327">
        <v>0</v>
      </c>
      <c r="G327" t="s">
        <v>229</v>
      </c>
      <c r="H327">
        <v>0</v>
      </c>
      <c r="J327" t="s">
        <v>225</v>
      </c>
      <c r="K327" t="s">
        <v>225</v>
      </c>
      <c r="Q327">
        <v>0</v>
      </c>
      <c r="R327">
        <v>0</v>
      </c>
      <c r="S327">
        <v>0</v>
      </c>
      <c r="T327">
        <v>0</v>
      </c>
      <c r="V327" t="s">
        <v>225</v>
      </c>
    </row>
    <row r="328" spans="1:22">
      <c r="A328" s="81">
        <v>9990010</v>
      </c>
      <c r="B328" t="s">
        <v>601</v>
      </c>
      <c r="C328">
        <v>0</v>
      </c>
      <c r="F328">
        <v>0</v>
      </c>
      <c r="G328" t="s">
        <v>229</v>
      </c>
      <c r="H328">
        <v>0</v>
      </c>
      <c r="J328" t="s">
        <v>225</v>
      </c>
      <c r="K328" t="s">
        <v>225</v>
      </c>
      <c r="Q328">
        <v>0</v>
      </c>
      <c r="R328">
        <v>0</v>
      </c>
      <c r="S328">
        <v>0</v>
      </c>
      <c r="T328">
        <v>0</v>
      </c>
      <c r="V328" t="s">
        <v>225</v>
      </c>
    </row>
    <row r="329" spans="1:22">
      <c r="A329" s="81">
        <v>9990011</v>
      </c>
      <c r="B329" t="s">
        <v>602</v>
      </c>
      <c r="C329">
        <v>0</v>
      </c>
      <c r="F329">
        <v>0</v>
      </c>
      <c r="G329" t="s">
        <v>229</v>
      </c>
      <c r="H329">
        <v>0</v>
      </c>
      <c r="J329" t="s">
        <v>225</v>
      </c>
      <c r="K329" t="s">
        <v>225</v>
      </c>
      <c r="Q329">
        <v>0</v>
      </c>
      <c r="R329">
        <v>0</v>
      </c>
      <c r="S329">
        <v>0</v>
      </c>
      <c r="T329">
        <v>0</v>
      </c>
      <c r="V329" t="s">
        <v>225</v>
      </c>
    </row>
    <row r="330" spans="1:22">
      <c r="A330" s="81">
        <v>9990012</v>
      </c>
      <c r="B330" t="s">
        <v>603</v>
      </c>
      <c r="C330">
        <v>0</v>
      </c>
      <c r="F330">
        <v>0</v>
      </c>
      <c r="G330" t="s">
        <v>229</v>
      </c>
      <c r="H330">
        <v>0</v>
      </c>
      <c r="J330" t="s">
        <v>225</v>
      </c>
      <c r="K330" t="s">
        <v>225</v>
      </c>
      <c r="Q330">
        <v>0</v>
      </c>
      <c r="R330">
        <v>0</v>
      </c>
      <c r="S330">
        <v>0</v>
      </c>
      <c r="T330">
        <v>0</v>
      </c>
      <c r="V330" t="s">
        <v>225</v>
      </c>
    </row>
    <row r="331" spans="1:22">
      <c r="A331" s="81">
        <v>9990013</v>
      </c>
      <c r="B331" t="s">
        <v>604</v>
      </c>
      <c r="C331">
        <v>0</v>
      </c>
      <c r="F331">
        <v>0</v>
      </c>
      <c r="G331" t="s">
        <v>229</v>
      </c>
      <c r="H331">
        <v>0</v>
      </c>
      <c r="J331" t="s">
        <v>225</v>
      </c>
      <c r="K331" t="s">
        <v>225</v>
      </c>
      <c r="Q331">
        <v>0</v>
      </c>
      <c r="R331">
        <v>0</v>
      </c>
      <c r="S331">
        <v>0</v>
      </c>
      <c r="T331">
        <v>0</v>
      </c>
      <c r="V331" t="s">
        <v>225</v>
      </c>
    </row>
    <row r="332" spans="1:22">
      <c r="A332" s="81">
        <v>9990014</v>
      </c>
      <c r="B332" t="s">
        <v>605</v>
      </c>
      <c r="C332">
        <v>0</v>
      </c>
      <c r="F332">
        <v>0</v>
      </c>
      <c r="G332" t="s">
        <v>229</v>
      </c>
      <c r="H332">
        <v>0</v>
      </c>
      <c r="J332" t="s">
        <v>225</v>
      </c>
      <c r="K332" t="s">
        <v>225</v>
      </c>
      <c r="Q332">
        <v>0</v>
      </c>
      <c r="R332">
        <v>0</v>
      </c>
      <c r="S332">
        <v>0</v>
      </c>
      <c r="T332">
        <v>0</v>
      </c>
      <c r="V332" t="s">
        <v>225</v>
      </c>
    </row>
    <row r="333" spans="1:22">
      <c r="A333" s="81">
        <v>9990015</v>
      </c>
      <c r="B333" t="s">
        <v>606</v>
      </c>
      <c r="C333">
        <v>0</v>
      </c>
      <c r="F333">
        <v>0</v>
      </c>
      <c r="G333" t="s">
        <v>229</v>
      </c>
      <c r="H333">
        <v>0</v>
      </c>
      <c r="J333" t="s">
        <v>225</v>
      </c>
      <c r="K333" t="s">
        <v>225</v>
      </c>
      <c r="Q333">
        <v>0</v>
      </c>
      <c r="R333">
        <v>0</v>
      </c>
      <c r="S333">
        <v>0</v>
      </c>
      <c r="T333">
        <v>0</v>
      </c>
      <c r="V333" t="s">
        <v>225</v>
      </c>
    </row>
    <row r="334" spans="1:22">
      <c r="A334" s="81">
        <v>9990025</v>
      </c>
      <c r="B334" t="s">
        <v>607</v>
      </c>
      <c r="C334">
        <v>0</v>
      </c>
      <c r="D334" t="s">
        <v>393</v>
      </c>
      <c r="F334">
        <v>0</v>
      </c>
      <c r="G334" t="s">
        <v>229</v>
      </c>
      <c r="H334">
        <v>0</v>
      </c>
      <c r="J334" t="s">
        <v>225</v>
      </c>
      <c r="K334" t="s">
        <v>225</v>
      </c>
      <c r="Q334">
        <v>0</v>
      </c>
      <c r="R334">
        <v>0</v>
      </c>
      <c r="S334">
        <v>0</v>
      </c>
      <c r="T334">
        <v>0</v>
      </c>
      <c r="V334" t="s">
        <v>225</v>
      </c>
    </row>
    <row r="335" spans="1:22">
      <c r="A335" s="81">
        <v>9990068</v>
      </c>
      <c r="B335" t="s">
        <v>608</v>
      </c>
      <c r="C335">
        <v>0</v>
      </c>
      <c r="D335" t="s">
        <v>609</v>
      </c>
      <c r="F335">
        <v>0</v>
      </c>
      <c r="G335" t="s">
        <v>229</v>
      </c>
      <c r="H335">
        <v>0</v>
      </c>
      <c r="J335" t="s">
        <v>225</v>
      </c>
      <c r="K335" t="s">
        <v>225</v>
      </c>
      <c r="Q335">
        <v>0</v>
      </c>
      <c r="R335">
        <v>0</v>
      </c>
      <c r="S335">
        <v>0</v>
      </c>
      <c r="T335">
        <v>0</v>
      </c>
      <c r="V335" t="s">
        <v>225</v>
      </c>
    </row>
    <row r="336" spans="1:22">
      <c r="A336" s="81">
        <v>9990069</v>
      </c>
      <c r="B336" t="s">
        <v>610</v>
      </c>
      <c r="C336">
        <v>0</v>
      </c>
      <c r="D336" t="s">
        <v>609</v>
      </c>
      <c r="F336">
        <v>0</v>
      </c>
      <c r="G336" t="s">
        <v>229</v>
      </c>
      <c r="H336">
        <v>0</v>
      </c>
      <c r="J336" t="s">
        <v>225</v>
      </c>
      <c r="K336" t="s">
        <v>225</v>
      </c>
      <c r="Q336">
        <v>0</v>
      </c>
      <c r="R336">
        <v>0</v>
      </c>
      <c r="S336">
        <v>0</v>
      </c>
      <c r="T336">
        <v>0</v>
      </c>
      <c r="V336" t="s">
        <v>225</v>
      </c>
    </row>
    <row r="337" spans="1:22">
      <c r="A337" s="81">
        <v>9990070</v>
      </c>
      <c r="B337" t="s">
        <v>611</v>
      </c>
      <c r="C337">
        <v>0</v>
      </c>
      <c r="F337">
        <v>0</v>
      </c>
      <c r="G337" t="s">
        <v>229</v>
      </c>
      <c r="H337">
        <v>0</v>
      </c>
      <c r="J337" t="s">
        <v>225</v>
      </c>
      <c r="K337" t="s">
        <v>225</v>
      </c>
      <c r="Q337">
        <v>0</v>
      </c>
      <c r="R337">
        <v>0</v>
      </c>
      <c r="S337">
        <v>0</v>
      </c>
      <c r="T337">
        <v>0</v>
      </c>
      <c r="V337" t="s">
        <v>225</v>
      </c>
    </row>
    <row r="338" spans="1:22">
      <c r="A338" s="81">
        <v>9990072</v>
      </c>
      <c r="B338" t="s">
        <v>612</v>
      </c>
      <c r="C338">
        <v>0</v>
      </c>
      <c r="F338">
        <v>0</v>
      </c>
      <c r="G338" t="s">
        <v>229</v>
      </c>
      <c r="H338">
        <v>0</v>
      </c>
      <c r="J338" t="s">
        <v>225</v>
      </c>
      <c r="K338" t="s">
        <v>225</v>
      </c>
      <c r="Q338">
        <v>0</v>
      </c>
      <c r="R338">
        <v>0</v>
      </c>
      <c r="S338">
        <v>0</v>
      </c>
      <c r="T338">
        <v>0</v>
      </c>
      <c r="V338" t="s">
        <v>225</v>
      </c>
    </row>
    <row r="339" spans="1:22">
      <c r="A339" s="81">
        <v>9990085</v>
      </c>
      <c r="B339" t="s">
        <v>613</v>
      </c>
      <c r="C339">
        <v>0</v>
      </c>
      <c r="E339" s="82">
        <v>45896</v>
      </c>
      <c r="F339">
        <v>0</v>
      </c>
      <c r="G339" t="s">
        <v>229</v>
      </c>
      <c r="H339">
        <v>0</v>
      </c>
      <c r="J339" t="s">
        <v>225</v>
      </c>
      <c r="K339" t="s">
        <v>225</v>
      </c>
      <c r="Q339">
        <v>0</v>
      </c>
      <c r="R339">
        <v>0</v>
      </c>
      <c r="S339">
        <v>0</v>
      </c>
      <c r="T339">
        <v>0</v>
      </c>
      <c r="V339" t="s">
        <v>225</v>
      </c>
    </row>
    <row r="340" spans="1:22">
      <c r="A340" s="81">
        <v>9990086</v>
      </c>
      <c r="B340" t="s">
        <v>614</v>
      </c>
      <c r="C340">
        <v>0</v>
      </c>
      <c r="E340" s="82">
        <v>44704</v>
      </c>
      <c r="F340">
        <v>0</v>
      </c>
      <c r="G340" t="s">
        <v>229</v>
      </c>
      <c r="H340">
        <v>0</v>
      </c>
      <c r="J340" t="s">
        <v>225</v>
      </c>
      <c r="K340" t="s">
        <v>225</v>
      </c>
      <c r="Q340">
        <v>0</v>
      </c>
      <c r="R340">
        <v>0</v>
      </c>
      <c r="S340">
        <v>0</v>
      </c>
      <c r="T340">
        <v>0</v>
      </c>
      <c r="V340" t="s">
        <v>225</v>
      </c>
    </row>
    <row r="341" spans="1:22">
      <c r="A341" s="81">
        <v>9990087</v>
      </c>
      <c r="B341" t="s">
        <v>615</v>
      </c>
      <c r="C341">
        <v>0</v>
      </c>
      <c r="F341">
        <v>0</v>
      </c>
      <c r="G341" t="s">
        <v>229</v>
      </c>
      <c r="H341">
        <v>0</v>
      </c>
      <c r="J341" t="s">
        <v>225</v>
      </c>
      <c r="K341" t="s">
        <v>225</v>
      </c>
      <c r="Q341">
        <v>0</v>
      </c>
      <c r="R341">
        <v>0</v>
      </c>
      <c r="S341">
        <v>0</v>
      </c>
      <c r="T341">
        <v>0</v>
      </c>
      <c r="V341" t="s">
        <v>225</v>
      </c>
    </row>
    <row r="342" spans="1:22">
      <c r="A342" s="81">
        <v>9990088</v>
      </c>
      <c r="B342" t="s">
        <v>616</v>
      </c>
      <c r="C342">
        <v>0</v>
      </c>
      <c r="F342">
        <v>0</v>
      </c>
      <c r="G342" t="s">
        <v>229</v>
      </c>
      <c r="H342">
        <v>0</v>
      </c>
      <c r="J342" t="s">
        <v>225</v>
      </c>
      <c r="K342" t="s">
        <v>225</v>
      </c>
      <c r="Q342">
        <v>0</v>
      </c>
      <c r="R342">
        <v>0</v>
      </c>
      <c r="S342">
        <v>0</v>
      </c>
      <c r="T342">
        <v>0</v>
      </c>
      <c r="V342" t="s">
        <v>225</v>
      </c>
    </row>
    <row r="343" spans="1:22">
      <c r="A343" s="81">
        <v>9990089</v>
      </c>
      <c r="B343" t="s">
        <v>617</v>
      </c>
      <c r="C343">
        <v>0</v>
      </c>
      <c r="F343">
        <v>0</v>
      </c>
      <c r="G343" t="s">
        <v>229</v>
      </c>
      <c r="H343">
        <v>0</v>
      </c>
      <c r="J343" t="s">
        <v>225</v>
      </c>
      <c r="K343" t="s">
        <v>225</v>
      </c>
      <c r="Q343">
        <v>0</v>
      </c>
      <c r="R343">
        <v>0</v>
      </c>
      <c r="S343">
        <v>0</v>
      </c>
      <c r="T343">
        <v>0</v>
      </c>
      <c r="V343" t="s">
        <v>225</v>
      </c>
    </row>
    <row r="344" spans="1:22">
      <c r="A344" s="81">
        <v>9990092</v>
      </c>
      <c r="B344" t="s">
        <v>618</v>
      </c>
      <c r="C344">
        <v>0</v>
      </c>
      <c r="F344">
        <v>0</v>
      </c>
      <c r="G344" t="s">
        <v>229</v>
      </c>
      <c r="H344">
        <v>0</v>
      </c>
      <c r="J344" t="s">
        <v>225</v>
      </c>
      <c r="K344" t="s">
        <v>225</v>
      </c>
      <c r="Q344">
        <v>0</v>
      </c>
      <c r="R344">
        <v>0</v>
      </c>
      <c r="S344">
        <v>0</v>
      </c>
      <c r="T344">
        <v>0</v>
      </c>
      <c r="V344" t="s">
        <v>225</v>
      </c>
    </row>
    <row r="345" spans="1:22">
      <c r="A345" s="81">
        <v>9990094</v>
      </c>
      <c r="B345" t="s">
        <v>619</v>
      </c>
      <c r="C345">
        <v>0</v>
      </c>
      <c r="F345">
        <v>0</v>
      </c>
      <c r="G345" t="s">
        <v>229</v>
      </c>
      <c r="H345">
        <v>0</v>
      </c>
      <c r="J345" t="s">
        <v>225</v>
      </c>
      <c r="K345" t="s">
        <v>225</v>
      </c>
      <c r="Q345">
        <v>0</v>
      </c>
      <c r="R345">
        <v>0</v>
      </c>
      <c r="S345">
        <v>0</v>
      </c>
      <c r="T345">
        <v>0</v>
      </c>
      <c r="V345" t="s">
        <v>225</v>
      </c>
    </row>
    <row r="346" spans="1:22">
      <c r="A346" s="81">
        <v>9990107</v>
      </c>
      <c r="B346" t="s">
        <v>620</v>
      </c>
      <c r="C346">
        <v>0</v>
      </c>
      <c r="D346" t="s">
        <v>609</v>
      </c>
      <c r="F346">
        <v>0</v>
      </c>
      <c r="G346" t="s">
        <v>229</v>
      </c>
      <c r="H346">
        <v>0</v>
      </c>
      <c r="J346" t="s">
        <v>225</v>
      </c>
      <c r="K346" t="s">
        <v>225</v>
      </c>
      <c r="Q346">
        <v>0</v>
      </c>
      <c r="R346">
        <v>0</v>
      </c>
      <c r="S346">
        <v>0</v>
      </c>
      <c r="T346">
        <v>0</v>
      </c>
      <c r="V346" t="s">
        <v>225</v>
      </c>
    </row>
    <row r="347" spans="1:22">
      <c r="A347" s="81">
        <v>9990108</v>
      </c>
      <c r="B347" t="s">
        <v>621</v>
      </c>
      <c r="C347">
        <v>0</v>
      </c>
      <c r="D347" t="s">
        <v>609</v>
      </c>
      <c r="F347">
        <v>0</v>
      </c>
      <c r="G347" t="s">
        <v>229</v>
      </c>
      <c r="H347">
        <v>0</v>
      </c>
      <c r="J347" t="s">
        <v>225</v>
      </c>
      <c r="K347" t="s">
        <v>225</v>
      </c>
      <c r="Q347">
        <v>0</v>
      </c>
      <c r="R347">
        <v>0</v>
      </c>
      <c r="S347">
        <v>0</v>
      </c>
      <c r="T347">
        <v>0</v>
      </c>
      <c r="V347" t="s">
        <v>225</v>
      </c>
    </row>
    <row r="348" spans="1:22">
      <c r="A348" s="81">
        <v>9990109</v>
      </c>
      <c r="B348" t="s">
        <v>622</v>
      </c>
      <c r="C348">
        <v>0</v>
      </c>
      <c r="D348" t="s">
        <v>609</v>
      </c>
      <c r="F348">
        <v>0</v>
      </c>
      <c r="G348" t="s">
        <v>229</v>
      </c>
      <c r="H348">
        <v>0</v>
      </c>
      <c r="J348" t="s">
        <v>225</v>
      </c>
      <c r="K348" t="s">
        <v>225</v>
      </c>
      <c r="Q348">
        <v>0</v>
      </c>
      <c r="R348">
        <v>0</v>
      </c>
      <c r="S348">
        <v>0</v>
      </c>
      <c r="T348">
        <v>0</v>
      </c>
      <c r="V348" t="s">
        <v>225</v>
      </c>
    </row>
    <row r="349" spans="1:22">
      <c r="A349" s="81">
        <v>9990110</v>
      </c>
      <c r="B349" t="s">
        <v>623</v>
      </c>
      <c r="C349">
        <v>0</v>
      </c>
      <c r="D349" t="s">
        <v>609</v>
      </c>
      <c r="F349">
        <v>0</v>
      </c>
      <c r="G349" t="s">
        <v>229</v>
      </c>
      <c r="H349">
        <v>0</v>
      </c>
      <c r="J349" t="s">
        <v>225</v>
      </c>
      <c r="K349" t="s">
        <v>225</v>
      </c>
      <c r="Q349">
        <v>0</v>
      </c>
      <c r="R349">
        <v>0</v>
      </c>
      <c r="S349">
        <v>0</v>
      </c>
      <c r="T349">
        <v>0</v>
      </c>
      <c r="V349" t="s">
        <v>225</v>
      </c>
    </row>
    <row r="350" spans="1:22">
      <c r="A350" s="81">
        <v>9990111</v>
      </c>
      <c r="B350" t="s">
        <v>624</v>
      </c>
      <c r="C350">
        <v>0</v>
      </c>
      <c r="D350" t="s">
        <v>609</v>
      </c>
      <c r="F350">
        <v>0</v>
      </c>
      <c r="G350" t="s">
        <v>229</v>
      </c>
      <c r="H350">
        <v>0</v>
      </c>
      <c r="J350" t="s">
        <v>225</v>
      </c>
      <c r="K350" t="s">
        <v>225</v>
      </c>
      <c r="Q350">
        <v>0</v>
      </c>
      <c r="R350">
        <v>0</v>
      </c>
      <c r="S350">
        <v>0</v>
      </c>
      <c r="T350">
        <v>0</v>
      </c>
      <c r="V350" t="s">
        <v>225</v>
      </c>
    </row>
    <row r="351" spans="1:22">
      <c r="A351" s="81">
        <v>9990112</v>
      </c>
      <c r="B351" t="s">
        <v>625</v>
      </c>
      <c r="C351">
        <v>0</v>
      </c>
      <c r="D351" t="s">
        <v>609</v>
      </c>
      <c r="F351">
        <v>0</v>
      </c>
      <c r="G351" t="s">
        <v>229</v>
      </c>
      <c r="H351">
        <v>0</v>
      </c>
      <c r="J351" t="s">
        <v>225</v>
      </c>
      <c r="K351" t="s">
        <v>225</v>
      </c>
      <c r="Q351">
        <v>0</v>
      </c>
      <c r="R351">
        <v>0</v>
      </c>
      <c r="S351">
        <v>0</v>
      </c>
      <c r="T351">
        <v>0</v>
      </c>
      <c r="V351" t="s">
        <v>225</v>
      </c>
    </row>
    <row r="352" spans="1:22">
      <c r="A352" s="81">
        <v>9990113</v>
      </c>
      <c r="B352" t="s">
        <v>626</v>
      </c>
      <c r="C352">
        <v>0</v>
      </c>
      <c r="D352" t="s">
        <v>609</v>
      </c>
      <c r="F352">
        <v>0</v>
      </c>
      <c r="G352" t="s">
        <v>229</v>
      </c>
      <c r="H352">
        <v>0</v>
      </c>
      <c r="J352" t="s">
        <v>225</v>
      </c>
      <c r="K352" t="s">
        <v>225</v>
      </c>
      <c r="Q352">
        <v>0</v>
      </c>
      <c r="R352">
        <v>0</v>
      </c>
      <c r="S352">
        <v>0</v>
      </c>
      <c r="T352">
        <v>0</v>
      </c>
      <c r="V352" t="s">
        <v>225</v>
      </c>
    </row>
    <row r="353" spans="1:22">
      <c r="A353" s="81">
        <v>9990114</v>
      </c>
      <c r="B353" t="s">
        <v>627</v>
      </c>
      <c r="C353">
        <v>0</v>
      </c>
      <c r="D353" t="s">
        <v>609</v>
      </c>
      <c r="F353">
        <v>0</v>
      </c>
      <c r="G353" t="s">
        <v>229</v>
      </c>
      <c r="H353">
        <v>0</v>
      </c>
      <c r="J353" t="s">
        <v>225</v>
      </c>
      <c r="K353" t="s">
        <v>225</v>
      </c>
      <c r="Q353">
        <v>0</v>
      </c>
      <c r="R353">
        <v>0</v>
      </c>
      <c r="S353">
        <v>0</v>
      </c>
      <c r="T353">
        <v>0</v>
      </c>
      <c r="V353" t="s">
        <v>225</v>
      </c>
    </row>
    <row r="354" spans="1:22">
      <c r="A354" s="81">
        <v>9990119</v>
      </c>
      <c r="B354" t="s">
        <v>628</v>
      </c>
      <c r="C354">
        <v>0</v>
      </c>
      <c r="F354">
        <v>0</v>
      </c>
      <c r="G354" t="s">
        <v>229</v>
      </c>
      <c r="H354">
        <v>0</v>
      </c>
      <c r="J354" t="s">
        <v>225</v>
      </c>
      <c r="K354" t="s">
        <v>225</v>
      </c>
      <c r="Q354">
        <v>0</v>
      </c>
      <c r="R354">
        <v>0</v>
      </c>
      <c r="S354">
        <v>0</v>
      </c>
      <c r="T354">
        <v>0</v>
      </c>
      <c r="V354" t="s">
        <v>225</v>
      </c>
    </row>
    <row r="355" spans="1:22">
      <c r="A355" s="81">
        <v>9990131</v>
      </c>
      <c r="B355" t="s">
        <v>629</v>
      </c>
      <c r="C355">
        <v>0</v>
      </c>
      <c r="F355">
        <v>0</v>
      </c>
      <c r="G355" t="s">
        <v>229</v>
      </c>
      <c r="H355">
        <v>0</v>
      </c>
      <c r="J355" t="s">
        <v>225</v>
      </c>
      <c r="K355" t="s">
        <v>225</v>
      </c>
      <c r="Q355">
        <v>0</v>
      </c>
      <c r="R355">
        <v>0</v>
      </c>
      <c r="S355">
        <v>0</v>
      </c>
      <c r="T355">
        <v>0</v>
      </c>
      <c r="V355" t="s">
        <v>225</v>
      </c>
    </row>
    <row r="356" spans="1:22">
      <c r="A356" s="81">
        <v>9990132</v>
      </c>
      <c r="B356" t="s">
        <v>630</v>
      </c>
      <c r="C356">
        <v>0</v>
      </c>
      <c r="E356" s="82">
        <v>44071</v>
      </c>
      <c r="F356">
        <v>0</v>
      </c>
      <c r="G356" t="s">
        <v>229</v>
      </c>
      <c r="H356">
        <v>0</v>
      </c>
      <c r="J356" t="s">
        <v>225</v>
      </c>
      <c r="K356" t="s">
        <v>225</v>
      </c>
      <c r="Q356">
        <v>0</v>
      </c>
      <c r="R356">
        <v>0</v>
      </c>
      <c r="S356">
        <v>0</v>
      </c>
      <c r="T356">
        <v>0</v>
      </c>
      <c r="V356" t="s">
        <v>225</v>
      </c>
    </row>
    <row r="357" spans="1:22">
      <c r="A357" s="81">
        <v>9990142</v>
      </c>
      <c r="B357" t="s">
        <v>631</v>
      </c>
      <c r="C357">
        <v>0</v>
      </c>
      <c r="F357">
        <v>0</v>
      </c>
      <c r="G357" t="s">
        <v>229</v>
      </c>
      <c r="H357">
        <v>0</v>
      </c>
      <c r="J357" t="s">
        <v>225</v>
      </c>
      <c r="K357" t="s">
        <v>225</v>
      </c>
      <c r="Q357">
        <v>0</v>
      </c>
      <c r="R357">
        <v>0</v>
      </c>
      <c r="S357">
        <v>0</v>
      </c>
      <c r="T357">
        <v>0</v>
      </c>
      <c r="V357" t="s">
        <v>225</v>
      </c>
    </row>
    <row r="358" spans="1:22">
      <c r="A358" s="81">
        <v>9990144</v>
      </c>
      <c r="B358" t="s">
        <v>632</v>
      </c>
      <c r="C358">
        <v>0</v>
      </c>
      <c r="F358">
        <v>0</v>
      </c>
      <c r="G358" t="s">
        <v>229</v>
      </c>
      <c r="H358">
        <v>0</v>
      </c>
      <c r="J358" t="s">
        <v>225</v>
      </c>
      <c r="K358" t="s">
        <v>225</v>
      </c>
      <c r="Q358">
        <v>0</v>
      </c>
      <c r="R358">
        <v>0</v>
      </c>
      <c r="S358">
        <v>0</v>
      </c>
      <c r="T358">
        <v>0</v>
      </c>
      <c r="V358" t="s">
        <v>225</v>
      </c>
    </row>
    <row r="359" spans="1:22">
      <c r="A359" s="81">
        <v>9990161</v>
      </c>
      <c r="B359" t="s">
        <v>633</v>
      </c>
      <c r="C359">
        <v>0</v>
      </c>
      <c r="D359" t="s">
        <v>609</v>
      </c>
      <c r="F359">
        <v>0</v>
      </c>
      <c r="G359" t="s">
        <v>229</v>
      </c>
      <c r="H359">
        <v>0</v>
      </c>
      <c r="J359" t="s">
        <v>225</v>
      </c>
      <c r="K359" t="s">
        <v>225</v>
      </c>
      <c r="Q359">
        <v>0</v>
      </c>
      <c r="R359">
        <v>0</v>
      </c>
      <c r="S359">
        <v>0</v>
      </c>
      <c r="T359">
        <v>0</v>
      </c>
      <c r="V359" t="s">
        <v>225</v>
      </c>
    </row>
    <row r="360" spans="1:22">
      <c r="A360" s="81">
        <v>9990162</v>
      </c>
      <c r="B360" t="s">
        <v>634</v>
      </c>
      <c r="C360">
        <v>0</v>
      </c>
      <c r="D360" t="s">
        <v>609</v>
      </c>
      <c r="E360" s="82">
        <v>44561</v>
      </c>
      <c r="F360">
        <v>0</v>
      </c>
      <c r="G360" t="s">
        <v>229</v>
      </c>
      <c r="H360">
        <v>0</v>
      </c>
      <c r="J360" t="s">
        <v>225</v>
      </c>
      <c r="K360" t="s">
        <v>225</v>
      </c>
      <c r="Q360">
        <v>0</v>
      </c>
      <c r="R360">
        <v>0</v>
      </c>
      <c r="S360">
        <v>0</v>
      </c>
      <c r="T360">
        <v>0</v>
      </c>
      <c r="V360" t="s">
        <v>225</v>
      </c>
    </row>
    <row r="361" spans="1:22">
      <c r="A361" s="81">
        <v>9990163</v>
      </c>
      <c r="B361" t="s">
        <v>635</v>
      </c>
      <c r="C361">
        <v>0</v>
      </c>
      <c r="D361" t="s">
        <v>609</v>
      </c>
      <c r="F361">
        <v>0</v>
      </c>
      <c r="G361" t="s">
        <v>229</v>
      </c>
      <c r="H361">
        <v>0</v>
      </c>
      <c r="J361" t="s">
        <v>225</v>
      </c>
      <c r="K361" t="s">
        <v>225</v>
      </c>
      <c r="Q361">
        <v>0</v>
      </c>
      <c r="R361">
        <v>0</v>
      </c>
      <c r="S361">
        <v>0</v>
      </c>
      <c r="T361">
        <v>0</v>
      </c>
      <c r="V361" t="s">
        <v>225</v>
      </c>
    </row>
    <row r="362" spans="1:22">
      <c r="A362" s="81">
        <v>9990164</v>
      </c>
      <c r="B362" t="s">
        <v>636</v>
      </c>
      <c r="C362">
        <v>0</v>
      </c>
      <c r="D362" t="s">
        <v>609</v>
      </c>
      <c r="F362">
        <v>0</v>
      </c>
      <c r="G362" t="s">
        <v>229</v>
      </c>
      <c r="H362">
        <v>0</v>
      </c>
      <c r="J362" t="s">
        <v>225</v>
      </c>
      <c r="K362" t="s">
        <v>225</v>
      </c>
      <c r="Q362">
        <v>0</v>
      </c>
      <c r="R362">
        <v>0</v>
      </c>
      <c r="S362">
        <v>0</v>
      </c>
      <c r="T362">
        <v>0</v>
      </c>
      <c r="V362" t="s">
        <v>225</v>
      </c>
    </row>
    <row r="363" spans="1:22">
      <c r="A363" s="81">
        <v>9990165</v>
      </c>
      <c r="B363" t="s">
        <v>637</v>
      </c>
      <c r="C363">
        <v>0</v>
      </c>
      <c r="D363" t="s">
        <v>609</v>
      </c>
      <c r="F363">
        <v>0</v>
      </c>
      <c r="G363" t="s">
        <v>229</v>
      </c>
      <c r="H363">
        <v>0</v>
      </c>
      <c r="J363" t="s">
        <v>225</v>
      </c>
      <c r="K363" t="s">
        <v>225</v>
      </c>
      <c r="Q363">
        <v>0</v>
      </c>
      <c r="R363">
        <v>0</v>
      </c>
      <c r="S363">
        <v>0</v>
      </c>
      <c r="T363">
        <v>0</v>
      </c>
      <c r="V363" t="s">
        <v>225</v>
      </c>
    </row>
    <row r="364" spans="1:22">
      <c r="A364" s="81">
        <v>9990167</v>
      </c>
      <c r="B364" t="s">
        <v>638</v>
      </c>
      <c r="C364">
        <v>0</v>
      </c>
      <c r="D364" t="s">
        <v>609</v>
      </c>
      <c r="F364">
        <v>0</v>
      </c>
      <c r="G364" t="s">
        <v>229</v>
      </c>
      <c r="H364">
        <v>0</v>
      </c>
      <c r="J364" t="s">
        <v>225</v>
      </c>
      <c r="K364" t="s">
        <v>225</v>
      </c>
      <c r="Q364">
        <v>0</v>
      </c>
      <c r="R364">
        <v>0</v>
      </c>
      <c r="S364">
        <v>0</v>
      </c>
      <c r="T364">
        <v>0</v>
      </c>
      <c r="V364" t="s">
        <v>225</v>
      </c>
    </row>
    <row r="365" spans="1:22">
      <c r="A365" s="81">
        <v>9990168</v>
      </c>
      <c r="B365" t="s">
        <v>639</v>
      </c>
      <c r="C365">
        <v>0</v>
      </c>
      <c r="F365">
        <v>0</v>
      </c>
      <c r="G365" t="s">
        <v>276</v>
      </c>
      <c r="H365">
        <v>0</v>
      </c>
      <c r="J365" t="s">
        <v>225</v>
      </c>
      <c r="K365" t="s">
        <v>225</v>
      </c>
      <c r="Q365">
        <v>0</v>
      </c>
      <c r="R365">
        <v>0</v>
      </c>
      <c r="S365">
        <v>0</v>
      </c>
      <c r="T365">
        <v>0</v>
      </c>
      <c r="V365" t="s">
        <v>225</v>
      </c>
    </row>
    <row r="366" spans="1:22">
      <c r="A366" s="81">
        <v>9990169</v>
      </c>
      <c r="B366" t="s">
        <v>640</v>
      </c>
      <c r="C366">
        <v>0</v>
      </c>
      <c r="E366" s="82">
        <v>44071</v>
      </c>
      <c r="F366">
        <v>0</v>
      </c>
      <c r="G366" t="s">
        <v>276</v>
      </c>
      <c r="H366">
        <v>0</v>
      </c>
      <c r="J366" t="s">
        <v>225</v>
      </c>
      <c r="K366" t="s">
        <v>225</v>
      </c>
      <c r="Q366">
        <v>0</v>
      </c>
      <c r="R366">
        <v>0</v>
      </c>
      <c r="S366">
        <v>0</v>
      </c>
      <c r="T366">
        <v>0</v>
      </c>
      <c r="V366" t="s">
        <v>225</v>
      </c>
    </row>
    <row r="367" spans="1:22">
      <c r="A367" s="81">
        <v>9990173</v>
      </c>
      <c r="B367" t="s">
        <v>641</v>
      </c>
      <c r="C367">
        <v>0</v>
      </c>
      <c r="D367" t="s">
        <v>609</v>
      </c>
      <c r="F367">
        <v>0</v>
      </c>
      <c r="G367" t="s">
        <v>229</v>
      </c>
      <c r="H367">
        <v>0</v>
      </c>
      <c r="J367" t="s">
        <v>225</v>
      </c>
      <c r="K367" t="s">
        <v>225</v>
      </c>
      <c r="Q367">
        <v>0</v>
      </c>
      <c r="R367">
        <v>0</v>
      </c>
      <c r="S367">
        <v>0</v>
      </c>
      <c r="T367">
        <v>0</v>
      </c>
      <c r="V367" t="s">
        <v>225</v>
      </c>
    </row>
    <row r="368" spans="1:22">
      <c r="A368" s="81">
        <v>9990175</v>
      </c>
      <c r="B368" t="s">
        <v>642</v>
      </c>
      <c r="C368">
        <v>0</v>
      </c>
      <c r="D368" t="s">
        <v>609</v>
      </c>
      <c r="F368">
        <v>0</v>
      </c>
      <c r="G368" t="s">
        <v>229</v>
      </c>
      <c r="H368">
        <v>0</v>
      </c>
      <c r="J368" t="s">
        <v>225</v>
      </c>
      <c r="K368" t="s">
        <v>225</v>
      </c>
      <c r="Q368">
        <v>0</v>
      </c>
      <c r="R368">
        <v>0</v>
      </c>
      <c r="S368">
        <v>0</v>
      </c>
      <c r="T368">
        <v>0</v>
      </c>
      <c r="V368" t="s">
        <v>225</v>
      </c>
    </row>
    <row r="369" spans="1:22">
      <c r="A369" s="81">
        <v>9990176</v>
      </c>
      <c r="B369" t="s">
        <v>643</v>
      </c>
      <c r="C369">
        <v>0</v>
      </c>
      <c r="D369" t="s">
        <v>609</v>
      </c>
      <c r="F369">
        <v>0</v>
      </c>
      <c r="G369" t="s">
        <v>229</v>
      </c>
      <c r="H369">
        <v>0</v>
      </c>
      <c r="J369" t="s">
        <v>225</v>
      </c>
      <c r="K369" t="s">
        <v>225</v>
      </c>
      <c r="Q369">
        <v>0</v>
      </c>
      <c r="R369">
        <v>0</v>
      </c>
      <c r="S369">
        <v>0</v>
      </c>
      <c r="T369">
        <v>0</v>
      </c>
      <c r="V369" t="s">
        <v>225</v>
      </c>
    </row>
    <row r="370" spans="1:22">
      <c r="A370" s="81">
        <v>9990177</v>
      </c>
      <c r="B370" t="s">
        <v>644</v>
      </c>
      <c r="C370">
        <v>0</v>
      </c>
      <c r="D370" t="s">
        <v>609</v>
      </c>
      <c r="E370" s="82">
        <v>44966</v>
      </c>
      <c r="F370">
        <v>0</v>
      </c>
      <c r="G370" t="s">
        <v>229</v>
      </c>
      <c r="H370">
        <v>0</v>
      </c>
      <c r="J370" t="s">
        <v>225</v>
      </c>
      <c r="K370" t="s">
        <v>225</v>
      </c>
      <c r="Q370">
        <v>0</v>
      </c>
      <c r="R370">
        <v>0</v>
      </c>
      <c r="S370">
        <v>0</v>
      </c>
      <c r="T370">
        <v>0</v>
      </c>
      <c r="V370" t="s">
        <v>225</v>
      </c>
    </row>
    <row r="371" spans="1:22">
      <c r="A371" s="81">
        <v>9990178</v>
      </c>
      <c r="B371" t="s">
        <v>645</v>
      </c>
      <c r="C371">
        <v>0</v>
      </c>
      <c r="D371" t="s">
        <v>609</v>
      </c>
      <c r="F371">
        <v>0</v>
      </c>
      <c r="G371" t="s">
        <v>229</v>
      </c>
      <c r="H371">
        <v>0</v>
      </c>
      <c r="J371" t="s">
        <v>225</v>
      </c>
      <c r="K371" t="s">
        <v>225</v>
      </c>
      <c r="Q371">
        <v>0</v>
      </c>
      <c r="R371">
        <v>0</v>
      </c>
      <c r="S371">
        <v>0</v>
      </c>
      <c r="T371">
        <v>0</v>
      </c>
      <c r="V371" t="s">
        <v>225</v>
      </c>
    </row>
    <row r="372" spans="1:22">
      <c r="A372" s="81">
        <v>9990179</v>
      </c>
      <c r="B372" t="s">
        <v>646</v>
      </c>
      <c r="C372">
        <v>0</v>
      </c>
      <c r="D372" t="s">
        <v>609</v>
      </c>
      <c r="F372">
        <v>0</v>
      </c>
      <c r="G372" t="s">
        <v>229</v>
      </c>
      <c r="H372">
        <v>0</v>
      </c>
      <c r="J372" t="s">
        <v>225</v>
      </c>
      <c r="K372" t="s">
        <v>225</v>
      </c>
      <c r="Q372">
        <v>0</v>
      </c>
      <c r="R372">
        <v>0</v>
      </c>
      <c r="S372">
        <v>0</v>
      </c>
      <c r="T372">
        <v>0</v>
      </c>
      <c r="V372" t="s">
        <v>225</v>
      </c>
    </row>
    <row r="373" spans="1:22">
      <c r="A373" s="81">
        <v>9990180</v>
      </c>
      <c r="B373" t="s">
        <v>647</v>
      </c>
      <c r="C373">
        <v>0</v>
      </c>
      <c r="D373" t="s">
        <v>609</v>
      </c>
      <c r="F373">
        <v>0</v>
      </c>
      <c r="G373" t="s">
        <v>229</v>
      </c>
      <c r="H373">
        <v>0</v>
      </c>
      <c r="J373" t="s">
        <v>225</v>
      </c>
      <c r="K373" t="s">
        <v>225</v>
      </c>
      <c r="Q373">
        <v>0</v>
      </c>
      <c r="R373">
        <v>0</v>
      </c>
      <c r="S373">
        <v>0</v>
      </c>
      <c r="T373">
        <v>0</v>
      </c>
      <c r="V373" t="s">
        <v>225</v>
      </c>
    </row>
    <row r="374" spans="1:22">
      <c r="A374" s="81">
        <v>9990181</v>
      </c>
      <c r="B374" t="s">
        <v>648</v>
      </c>
      <c r="C374">
        <v>0</v>
      </c>
      <c r="D374" t="s">
        <v>609</v>
      </c>
      <c r="F374">
        <v>0</v>
      </c>
      <c r="G374" t="s">
        <v>229</v>
      </c>
      <c r="H374">
        <v>0</v>
      </c>
      <c r="J374" t="s">
        <v>225</v>
      </c>
      <c r="K374" t="s">
        <v>225</v>
      </c>
      <c r="Q374">
        <v>0</v>
      </c>
      <c r="R374">
        <v>0</v>
      </c>
      <c r="S374">
        <v>0</v>
      </c>
      <c r="T374">
        <v>0</v>
      </c>
      <c r="V374" t="s">
        <v>225</v>
      </c>
    </row>
    <row r="375" spans="1:22">
      <c r="A375" s="81">
        <v>9990182</v>
      </c>
      <c r="B375" t="s">
        <v>649</v>
      </c>
      <c r="C375">
        <v>0</v>
      </c>
      <c r="F375">
        <v>0</v>
      </c>
      <c r="G375" t="s">
        <v>229</v>
      </c>
      <c r="H375">
        <v>0</v>
      </c>
      <c r="J375" t="s">
        <v>225</v>
      </c>
      <c r="K375" t="s">
        <v>225</v>
      </c>
      <c r="Q375">
        <v>0</v>
      </c>
      <c r="R375">
        <v>0</v>
      </c>
      <c r="S375">
        <v>0</v>
      </c>
      <c r="T375">
        <v>0</v>
      </c>
      <c r="V375" t="s">
        <v>225</v>
      </c>
    </row>
    <row r="376" spans="1:22">
      <c r="A376" s="81">
        <v>9990186</v>
      </c>
      <c r="B376" t="s">
        <v>650</v>
      </c>
      <c r="C376">
        <v>0</v>
      </c>
      <c r="F376">
        <v>0</v>
      </c>
      <c r="G376" t="s">
        <v>229</v>
      </c>
      <c r="H376">
        <v>0</v>
      </c>
      <c r="J376" t="s">
        <v>225</v>
      </c>
      <c r="K376" t="s">
        <v>225</v>
      </c>
      <c r="Q376">
        <v>0</v>
      </c>
      <c r="R376">
        <v>0</v>
      </c>
      <c r="S376">
        <v>0</v>
      </c>
      <c r="T376">
        <v>0</v>
      </c>
      <c r="V376" t="s">
        <v>225</v>
      </c>
    </row>
    <row r="377" spans="1:22">
      <c r="A377" s="81">
        <v>9990188</v>
      </c>
      <c r="B377" t="s">
        <v>651</v>
      </c>
      <c r="C377">
        <v>0</v>
      </c>
      <c r="F377">
        <v>0</v>
      </c>
      <c r="G377" t="s">
        <v>229</v>
      </c>
      <c r="H377">
        <v>0</v>
      </c>
      <c r="J377" t="s">
        <v>225</v>
      </c>
      <c r="K377" t="s">
        <v>225</v>
      </c>
      <c r="Q377">
        <v>0</v>
      </c>
      <c r="R377">
        <v>0</v>
      </c>
      <c r="S377">
        <v>0</v>
      </c>
      <c r="T377">
        <v>0</v>
      </c>
      <c r="V377" t="s">
        <v>225</v>
      </c>
    </row>
    <row r="378" spans="1:22">
      <c r="A378" s="81">
        <v>9990189</v>
      </c>
      <c r="B378" t="s">
        <v>652</v>
      </c>
      <c r="C378">
        <v>0</v>
      </c>
      <c r="F378">
        <v>0</v>
      </c>
      <c r="G378" t="s">
        <v>229</v>
      </c>
      <c r="H378">
        <v>0</v>
      </c>
      <c r="J378" t="s">
        <v>225</v>
      </c>
      <c r="K378" t="s">
        <v>225</v>
      </c>
      <c r="Q378">
        <v>0</v>
      </c>
      <c r="R378">
        <v>0</v>
      </c>
      <c r="S378">
        <v>0</v>
      </c>
      <c r="T378">
        <v>0</v>
      </c>
      <c r="V378" t="s">
        <v>225</v>
      </c>
    </row>
    <row r="379" spans="1:22">
      <c r="A379" s="81">
        <v>9990193</v>
      </c>
      <c r="B379" t="s">
        <v>653</v>
      </c>
      <c r="C379">
        <v>0</v>
      </c>
      <c r="F379">
        <v>0</v>
      </c>
      <c r="G379" t="s">
        <v>229</v>
      </c>
      <c r="H379">
        <v>0</v>
      </c>
      <c r="J379" t="s">
        <v>225</v>
      </c>
      <c r="K379" t="s">
        <v>225</v>
      </c>
      <c r="Q379">
        <v>0</v>
      </c>
      <c r="R379">
        <v>0</v>
      </c>
      <c r="S379">
        <v>0</v>
      </c>
      <c r="T379">
        <v>0</v>
      </c>
      <c r="V379" t="s">
        <v>225</v>
      </c>
    </row>
    <row r="380" spans="1:22">
      <c r="A380" s="81">
        <v>9990194</v>
      </c>
      <c r="B380" t="s">
        <v>654</v>
      </c>
      <c r="C380">
        <v>0</v>
      </c>
      <c r="F380">
        <v>0</v>
      </c>
      <c r="G380" t="s">
        <v>229</v>
      </c>
      <c r="H380">
        <v>0</v>
      </c>
      <c r="J380" t="s">
        <v>225</v>
      </c>
      <c r="K380" t="s">
        <v>225</v>
      </c>
      <c r="Q380">
        <v>0</v>
      </c>
      <c r="R380">
        <v>0</v>
      </c>
      <c r="S380">
        <v>0</v>
      </c>
      <c r="T380">
        <v>0</v>
      </c>
      <c r="V380" t="s">
        <v>225</v>
      </c>
    </row>
    <row r="381" spans="1:22">
      <c r="A381" s="81" t="s">
        <v>655</v>
      </c>
      <c r="B381" t="s">
        <v>656</v>
      </c>
      <c r="C381">
        <v>0</v>
      </c>
      <c r="E381" s="82">
        <v>44505</v>
      </c>
      <c r="F381">
        <v>0</v>
      </c>
      <c r="G381" t="s">
        <v>276</v>
      </c>
      <c r="H381">
        <v>0</v>
      </c>
      <c r="J381" t="s">
        <v>225</v>
      </c>
      <c r="K381" t="s">
        <v>225</v>
      </c>
      <c r="Q381">
        <v>0</v>
      </c>
      <c r="R381">
        <v>0</v>
      </c>
      <c r="S381">
        <v>0</v>
      </c>
      <c r="T381">
        <v>0</v>
      </c>
      <c r="V381" t="s">
        <v>226</v>
      </c>
    </row>
    <row r="382" spans="1:22">
      <c r="A382" s="81">
        <v>9990218</v>
      </c>
      <c r="B382" t="s">
        <v>657</v>
      </c>
      <c r="C382">
        <v>0</v>
      </c>
      <c r="E382" s="82">
        <v>44701</v>
      </c>
      <c r="F382">
        <v>0</v>
      </c>
      <c r="G382" t="s">
        <v>229</v>
      </c>
      <c r="H382">
        <v>0</v>
      </c>
      <c r="I382" s="83"/>
      <c r="J382" t="s">
        <v>225</v>
      </c>
      <c r="K382" t="s">
        <v>225</v>
      </c>
      <c r="Q382">
        <v>0</v>
      </c>
      <c r="R382">
        <v>0</v>
      </c>
      <c r="S382">
        <v>0</v>
      </c>
      <c r="T382">
        <v>0</v>
      </c>
      <c r="V382" t="s">
        <v>225</v>
      </c>
    </row>
    <row r="383" spans="1:22">
      <c r="A383" s="81">
        <v>9990222</v>
      </c>
      <c r="B383" t="s">
        <v>658</v>
      </c>
      <c r="C383">
        <v>0</v>
      </c>
      <c r="D383" t="s">
        <v>609</v>
      </c>
      <c r="F383">
        <v>0</v>
      </c>
      <c r="G383" t="s">
        <v>229</v>
      </c>
      <c r="H383">
        <v>0</v>
      </c>
      <c r="J383" t="s">
        <v>225</v>
      </c>
      <c r="K383" t="s">
        <v>225</v>
      </c>
      <c r="Q383">
        <v>0</v>
      </c>
      <c r="R383">
        <v>0</v>
      </c>
      <c r="S383">
        <v>0</v>
      </c>
      <c r="T383">
        <v>0</v>
      </c>
      <c r="V383" t="s">
        <v>225</v>
      </c>
    </row>
    <row r="384" spans="1:22">
      <c r="A384" s="81">
        <v>9990223</v>
      </c>
      <c r="B384" t="s">
        <v>659</v>
      </c>
      <c r="C384">
        <v>0</v>
      </c>
      <c r="D384" t="s">
        <v>609</v>
      </c>
      <c r="F384">
        <v>0</v>
      </c>
      <c r="G384" t="s">
        <v>229</v>
      </c>
      <c r="H384">
        <v>0</v>
      </c>
      <c r="J384" t="s">
        <v>225</v>
      </c>
      <c r="K384" t="s">
        <v>225</v>
      </c>
      <c r="Q384">
        <v>0</v>
      </c>
      <c r="R384">
        <v>0</v>
      </c>
      <c r="S384">
        <v>0</v>
      </c>
      <c r="T384">
        <v>0</v>
      </c>
      <c r="V384" t="s">
        <v>225</v>
      </c>
    </row>
    <row r="385" spans="1:22">
      <c r="A385" s="81">
        <v>9990224</v>
      </c>
      <c r="B385" t="s">
        <v>660</v>
      </c>
      <c r="C385">
        <v>0</v>
      </c>
      <c r="D385" t="s">
        <v>609</v>
      </c>
      <c r="F385">
        <v>0</v>
      </c>
      <c r="G385" t="s">
        <v>229</v>
      </c>
      <c r="H385">
        <v>0</v>
      </c>
      <c r="J385" t="s">
        <v>225</v>
      </c>
      <c r="K385" t="s">
        <v>225</v>
      </c>
      <c r="Q385">
        <v>0</v>
      </c>
      <c r="R385">
        <v>0</v>
      </c>
      <c r="S385">
        <v>0</v>
      </c>
      <c r="T385">
        <v>0</v>
      </c>
      <c r="V385" t="s">
        <v>225</v>
      </c>
    </row>
    <row r="386" spans="1:22">
      <c r="A386" s="81">
        <v>9990225</v>
      </c>
      <c r="B386" t="s">
        <v>661</v>
      </c>
      <c r="C386">
        <v>0</v>
      </c>
      <c r="D386" t="s">
        <v>609</v>
      </c>
      <c r="F386">
        <v>0</v>
      </c>
      <c r="G386" t="s">
        <v>229</v>
      </c>
      <c r="H386">
        <v>0</v>
      </c>
      <c r="J386" t="s">
        <v>225</v>
      </c>
      <c r="K386" t="s">
        <v>225</v>
      </c>
      <c r="Q386">
        <v>0</v>
      </c>
      <c r="R386">
        <v>0</v>
      </c>
      <c r="S386">
        <v>0</v>
      </c>
      <c r="T386">
        <v>0</v>
      </c>
      <c r="V386" t="s">
        <v>225</v>
      </c>
    </row>
    <row r="387" spans="1:22">
      <c r="A387" s="81">
        <v>9990226</v>
      </c>
      <c r="B387" t="s">
        <v>662</v>
      </c>
      <c r="C387">
        <v>0</v>
      </c>
      <c r="D387" t="s">
        <v>609</v>
      </c>
      <c r="F387">
        <v>0</v>
      </c>
      <c r="G387" t="s">
        <v>229</v>
      </c>
      <c r="H387">
        <v>0</v>
      </c>
      <c r="J387" t="s">
        <v>225</v>
      </c>
      <c r="K387" t="s">
        <v>225</v>
      </c>
      <c r="Q387">
        <v>0</v>
      </c>
      <c r="R387">
        <v>0</v>
      </c>
      <c r="S387">
        <v>0</v>
      </c>
      <c r="T387">
        <v>0</v>
      </c>
      <c r="V387" t="s">
        <v>225</v>
      </c>
    </row>
    <row r="388" spans="1:22">
      <c r="A388" s="81">
        <v>9990228</v>
      </c>
      <c r="B388" t="s">
        <v>663</v>
      </c>
      <c r="C388">
        <v>0</v>
      </c>
      <c r="D388" t="s">
        <v>609</v>
      </c>
      <c r="F388">
        <v>0</v>
      </c>
      <c r="G388" t="s">
        <v>229</v>
      </c>
      <c r="H388">
        <v>0</v>
      </c>
      <c r="J388" t="s">
        <v>225</v>
      </c>
      <c r="K388" t="s">
        <v>225</v>
      </c>
      <c r="Q388">
        <v>0</v>
      </c>
      <c r="R388">
        <v>0</v>
      </c>
      <c r="S388">
        <v>0</v>
      </c>
      <c r="T388">
        <v>0</v>
      </c>
      <c r="V388" t="s">
        <v>225</v>
      </c>
    </row>
    <row r="389" spans="1:22">
      <c r="A389" s="81">
        <v>9990229</v>
      </c>
      <c r="B389" t="s">
        <v>664</v>
      </c>
      <c r="C389">
        <v>0</v>
      </c>
      <c r="D389" t="s">
        <v>609</v>
      </c>
      <c r="F389">
        <v>0</v>
      </c>
      <c r="G389" t="s">
        <v>229</v>
      </c>
      <c r="H389">
        <v>0</v>
      </c>
      <c r="J389" t="s">
        <v>225</v>
      </c>
      <c r="K389" t="s">
        <v>225</v>
      </c>
      <c r="Q389">
        <v>0</v>
      </c>
      <c r="R389">
        <v>0</v>
      </c>
      <c r="S389">
        <v>0</v>
      </c>
      <c r="T389">
        <v>0</v>
      </c>
      <c r="V389" t="s">
        <v>225</v>
      </c>
    </row>
    <row r="390" spans="1:22">
      <c r="A390" s="81">
        <v>9990234</v>
      </c>
      <c r="B390" t="s">
        <v>665</v>
      </c>
      <c r="C390">
        <v>0</v>
      </c>
      <c r="F390">
        <v>0</v>
      </c>
      <c r="G390" t="s">
        <v>229</v>
      </c>
      <c r="H390">
        <v>0</v>
      </c>
      <c r="J390" t="s">
        <v>225</v>
      </c>
      <c r="K390" t="s">
        <v>225</v>
      </c>
      <c r="Q390">
        <v>0</v>
      </c>
      <c r="R390">
        <v>0</v>
      </c>
      <c r="S390">
        <v>0</v>
      </c>
      <c r="T390">
        <v>0</v>
      </c>
      <c r="V390" t="s">
        <v>225</v>
      </c>
    </row>
    <row r="391" spans="1:22">
      <c r="A391" s="81">
        <v>9990500</v>
      </c>
      <c r="B391" t="s">
        <v>666</v>
      </c>
      <c r="C391">
        <v>0</v>
      </c>
      <c r="E391" s="82">
        <v>44994</v>
      </c>
      <c r="F391">
        <v>0</v>
      </c>
      <c r="G391" t="s">
        <v>229</v>
      </c>
      <c r="H391">
        <v>0</v>
      </c>
      <c r="J391" t="s">
        <v>225</v>
      </c>
      <c r="K391" t="s">
        <v>225</v>
      </c>
      <c r="Q391">
        <v>0</v>
      </c>
      <c r="R391">
        <v>0</v>
      </c>
      <c r="S391">
        <v>0</v>
      </c>
      <c r="T391">
        <v>0</v>
      </c>
      <c r="V391" t="s">
        <v>225</v>
      </c>
    </row>
    <row r="392" spans="1:22">
      <c r="A392" s="81">
        <v>9990508</v>
      </c>
      <c r="B392" t="s">
        <v>667</v>
      </c>
      <c r="C392">
        <v>0</v>
      </c>
      <c r="D392" t="s">
        <v>668</v>
      </c>
      <c r="E392" s="82">
        <v>44449</v>
      </c>
      <c r="F392">
        <v>0</v>
      </c>
      <c r="G392" t="s">
        <v>276</v>
      </c>
      <c r="H392">
        <v>0</v>
      </c>
      <c r="J392" t="s">
        <v>225</v>
      </c>
      <c r="K392" t="s">
        <v>225</v>
      </c>
      <c r="Q392">
        <v>0</v>
      </c>
      <c r="R392">
        <v>0</v>
      </c>
      <c r="S392">
        <v>0</v>
      </c>
      <c r="T392">
        <v>0</v>
      </c>
      <c r="V392" t="s">
        <v>225</v>
      </c>
    </row>
    <row r="393" spans="1:22">
      <c r="A393" s="81">
        <v>9990509</v>
      </c>
      <c r="B393" t="s">
        <v>669</v>
      </c>
      <c r="C393">
        <v>0</v>
      </c>
      <c r="D393" t="s">
        <v>670</v>
      </c>
      <c r="E393" s="82">
        <v>44743</v>
      </c>
      <c r="F393">
        <v>0</v>
      </c>
      <c r="G393" t="s">
        <v>276</v>
      </c>
      <c r="H393">
        <v>0</v>
      </c>
      <c r="J393" t="s">
        <v>225</v>
      </c>
      <c r="K393" t="s">
        <v>225</v>
      </c>
      <c r="Q393">
        <v>0</v>
      </c>
      <c r="R393">
        <v>0</v>
      </c>
      <c r="S393">
        <v>0</v>
      </c>
      <c r="T393">
        <v>0</v>
      </c>
      <c r="V393" t="s">
        <v>225</v>
      </c>
    </row>
    <row r="394" spans="1:22">
      <c r="A394" s="81">
        <v>9990510</v>
      </c>
      <c r="B394" t="s">
        <v>671</v>
      </c>
      <c r="C394">
        <v>0</v>
      </c>
      <c r="D394" t="s">
        <v>672</v>
      </c>
      <c r="F394">
        <v>0</v>
      </c>
      <c r="G394" t="s">
        <v>276</v>
      </c>
      <c r="H394">
        <v>0</v>
      </c>
      <c r="J394" t="s">
        <v>225</v>
      </c>
      <c r="K394" t="s">
        <v>225</v>
      </c>
      <c r="Q394">
        <v>0</v>
      </c>
      <c r="R394">
        <v>0</v>
      </c>
      <c r="S394">
        <v>0</v>
      </c>
      <c r="T394">
        <v>0</v>
      </c>
      <c r="V394" t="s">
        <v>225</v>
      </c>
    </row>
    <row r="395" spans="1:22">
      <c r="A395" s="81" t="s">
        <v>673</v>
      </c>
      <c r="B395" t="s">
        <v>671</v>
      </c>
      <c r="C395">
        <v>0</v>
      </c>
      <c r="D395" t="s">
        <v>672</v>
      </c>
      <c r="E395" s="82">
        <v>44336</v>
      </c>
      <c r="F395">
        <v>0</v>
      </c>
      <c r="G395" t="s">
        <v>276</v>
      </c>
      <c r="H395">
        <v>0</v>
      </c>
      <c r="J395" t="s">
        <v>225</v>
      </c>
      <c r="K395" t="s">
        <v>225</v>
      </c>
      <c r="Q395">
        <v>0</v>
      </c>
      <c r="R395">
        <v>0</v>
      </c>
      <c r="S395">
        <v>0</v>
      </c>
      <c r="T395">
        <v>0</v>
      </c>
      <c r="V395" t="s">
        <v>225</v>
      </c>
    </row>
    <row r="396" spans="1:22">
      <c r="A396" s="81">
        <v>9990511</v>
      </c>
      <c r="B396" t="s">
        <v>674</v>
      </c>
      <c r="C396">
        <v>0</v>
      </c>
      <c r="F396">
        <v>0</v>
      </c>
      <c r="G396" t="s">
        <v>229</v>
      </c>
      <c r="H396">
        <v>0</v>
      </c>
      <c r="J396" t="s">
        <v>225</v>
      </c>
      <c r="K396" t="s">
        <v>225</v>
      </c>
      <c r="Q396">
        <v>0</v>
      </c>
      <c r="R396">
        <v>0</v>
      </c>
      <c r="S396">
        <v>0</v>
      </c>
      <c r="T396">
        <v>0</v>
      </c>
      <c r="V396" t="s">
        <v>225</v>
      </c>
    </row>
    <row r="397" spans="1:22">
      <c r="A397" s="81" t="s">
        <v>675</v>
      </c>
      <c r="C397">
        <v>0</v>
      </c>
      <c r="F397">
        <v>0</v>
      </c>
      <c r="H397">
        <v>0</v>
      </c>
      <c r="J397" t="s">
        <v>225</v>
      </c>
      <c r="K397" t="s">
        <v>225</v>
      </c>
      <c r="Q397">
        <v>0</v>
      </c>
      <c r="R397">
        <v>0</v>
      </c>
      <c r="S397">
        <v>0</v>
      </c>
      <c r="T397">
        <v>0</v>
      </c>
      <c r="V397" t="s">
        <v>225</v>
      </c>
    </row>
    <row r="398" spans="1:22">
      <c r="A398" s="81" t="s">
        <v>676</v>
      </c>
      <c r="B398" t="s">
        <v>677</v>
      </c>
      <c r="C398">
        <v>0</v>
      </c>
      <c r="D398" t="s">
        <v>678</v>
      </c>
      <c r="E398" s="82">
        <v>45176</v>
      </c>
      <c r="F398">
        <v>0</v>
      </c>
      <c r="G398" t="s">
        <v>276</v>
      </c>
      <c r="H398">
        <v>0</v>
      </c>
      <c r="J398" t="s">
        <v>225</v>
      </c>
      <c r="K398" t="s">
        <v>225</v>
      </c>
      <c r="O398">
        <v>5</v>
      </c>
      <c r="Q398">
        <v>0</v>
      </c>
      <c r="R398">
        <v>0</v>
      </c>
      <c r="S398">
        <v>0</v>
      </c>
      <c r="T398">
        <v>0</v>
      </c>
      <c r="V398" t="s">
        <v>225</v>
      </c>
    </row>
    <row r="399" spans="1:22">
      <c r="A399" s="81" t="s">
        <v>679</v>
      </c>
      <c r="B399" t="s">
        <v>680</v>
      </c>
      <c r="C399">
        <v>0</v>
      </c>
      <c r="D399" t="s">
        <v>678</v>
      </c>
      <c r="E399" s="82">
        <v>45176</v>
      </c>
      <c r="F399">
        <v>0</v>
      </c>
      <c r="G399" t="s">
        <v>276</v>
      </c>
      <c r="H399">
        <v>0</v>
      </c>
      <c r="J399" t="s">
        <v>225</v>
      </c>
      <c r="K399" t="s">
        <v>225</v>
      </c>
      <c r="Q399">
        <v>0</v>
      </c>
      <c r="R399">
        <v>0</v>
      </c>
      <c r="S399">
        <v>0</v>
      </c>
      <c r="T399">
        <v>0</v>
      </c>
      <c r="V399" t="s">
        <v>225</v>
      </c>
    </row>
    <row r="400" spans="1:22">
      <c r="A400" s="81" t="s">
        <v>681</v>
      </c>
      <c r="B400" t="s">
        <v>682</v>
      </c>
      <c r="C400">
        <v>0</v>
      </c>
      <c r="D400" t="s">
        <v>678</v>
      </c>
      <c r="E400" s="82">
        <v>45176</v>
      </c>
      <c r="F400">
        <v>0</v>
      </c>
      <c r="G400" t="s">
        <v>276</v>
      </c>
      <c r="H400">
        <v>0</v>
      </c>
      <c r="J400" t="s">
        <v>225</v>
      </c>
      <c r="K400" t="s">
        <v>225</v>
      </c>
      <c r="O400">
        <v>5</v>
      </c>
      <c r="Q400">
        <v>0</v>
      </c>
      <c r="R400">
        <v>0</v>
      </c>
      <c r="S400">
        <v>0</v>
      </c>
      <c r="T400">
        <v>0</v>
      </c>
      <c r="V400" t="s">
        <v>225</v>
      </c>
    </row>
    <row r="401" spans="1:22">
      <c r="A401" s="81" t="s">
        <v>683</v>
      </c>
      <c r="B401" t="s">
        <v>684</v>
      </c>
      <c r="C401">
        <v>0</v>
      </c>
      <c r="D401" t="s">
        <v>678</v>
      </c>
      <c r="E401" s="82">
        <v>45176</v>
      </c>
      <c r="F401">
        <v>0</v>
      </c>
      <c r="G401" t="s">
        <v>276</v>
      </c>
      <c r="H401">
        <v>0</v>
      </c>
      <c r="J401" t="s">
        <v>225</v>
      </c>
      <c r="K401" t="s">
        <v>225</v>
      </c>
      <c r="O401">
        <v>5</v>
      </c>
      <c r="Q401">
        <v>0</v>
      </c>
      <c r="R401">
        <v>0</v>
      </c>
      <c r="S401">
        <v>0</v>
      </c>
      <c r="T401">
        <v>0</v>
      </c>
      <c r="V401" t="s">
        <v>225</v>
      </c>
    </row>
    <row r="402" spans="1:22">
      <c r="A402" s="81" t="s">
        <v>685</v>
      </c>
      <c r="B402" t="s">
        <v>686</v>
      </c>
      <c r="C402">
        <v>0</v>
      </c>
      <c r="D402" t="s">
        <v>678</v>
      </c>
      <c r="E402" s="82">
        <v>45176</v>
      </c>
      <c r="F402">
        <v>0</v>
      </c>
      <c r="G402" t="s">
        <v>276</v>
      </c>
      <c r="H402">
        <v>0</v>
      </c>
      <c r="J402" t="s">
        <v>225</v>
      </c>
      <c r="K402" t="s">
        <v>225</v>
      </c>
      <c r="O402">
        <v>5</v>
      </c>
      <c r="Q402">
        <v>0</v>
      </c>
      <c r="R402">
        <v>0</v>
      </c>
      <c r="S402">
        <v>0</v>
      </c>
      <c r="T402">
        <v>0</v>
      </c>
      <c r="V402" t="s">
        <v>225</v>
      </c>
    </row>
    <row r="403" spans="1:22">
      <c r="A403" s="81" t="s">
        <v>687</v>
      </c>
      <c r="B403" t="s">
        <v>688</v>
      </c>
      <c r="C403" s="83">
        <v>9216</v>
      </c>
      <c r="D403" t="s">
        <v>678</v>
      </c>
      <c r="E403" s="82">
        <v>45176</v>
      </c>
      <c r="F403">
        <v>0</v>
      </c>
      <c r="G403" t="s">
        <v>276</v>
      </c>
      <c r="H403">
        <v>0</v>
      </c>
      <c r="J403" t="s">
        <v>225</v>
      </c>
      <c r="K403" t="s">
        <v>225</v>
      </c>
      <c r="O403">
        <v>5</v>
      </c>
      <c r="Q403">
        <v>0</v>
      </c>
      <c r="R403">
        <v>0</v>
      </c>
      <c r="S403">
        <v>0</v>
      </c>
      <c r="T403">
        <v>0</v>
      </c>
      <c r="V403" t="s">
        <v>225</v>
      </c>
    </row>
    <row r="404" spans="1:22">
      <c r="A404" s="81" t="s">
        <v>689</v>
      </c>
      <c r="B404" t="s">
        <v>690</v>
      </c>
      <c r="C404" s="83">
        <v>9216</v>
      </c>
      <c r="D404" t="s">
        <v>678</v>
      </c>
      <c r="E404" s="82">
        <v>45176</v>
      </c>
      <c r="F404">
        <v>0</v>
      </c>
      <c r="G404" t="s">
        <v>276</v>
      </c>
      <c r="H404">
        <v>0</v>
      </c>
      <c r="J404" t="s">
        <v>225</v>
      </c>
      <c r="K404" t="s">
        <v>225</v>
      </c>
      <c r="O404">
        <v>5</v>
      </c>
      <c r="Q404">
        <v>0</v>
      </c>
      <c r="R404">
        <v>0</v>
      </c>
      <c r="S404">
        <v>0</v>
      </c>
      <c r="T404">
        <v>0</v>
      </c>
      <c r="V404" t="s">
        <v>225</v>
      </c>
    </row>
    <row r="405" spans="1:22">
      <c r="A405" s="81" t="s">
        <v>691</v>
      </c>
      <c r="B405" t="s">
        <v>692</v>
      </c>
      <c r="C405" s="83">
        <v>9216</v>
      </c>
      <c r="D405" t="s">
        <v>678</v>
      </c>
      <c r="E405" s="82">
        <v>45176</v>
      </c>
      <c r="F405">
        <v>0</v>
      </c>
      <c r="G405" t="s">
        <v>276</v>
      </c>
      <c r="H405">
        <v>0</v>
      </c>
      <c r="J405" t="s">
        <v>225</v>
      </c>
      <c r="K405" t="s">
        <v>225</v>
      </c>
      <c r="O405">
        <v>5</v>
      </c>
      <c r="Q405">
        <v>0</v>
      </c>
      <c r="R405">
        <v>0</v>
      </c>
      <c r="S405">
        <v>0</v>
      </c>
      <c r="T405">
        <v>0</v>
      </c>
      <c r="V405" t="s">
        <v>225</v>
      </c>
    </row>
    <row r="406" spans="1:22">
      <c r="A406" s="81" t="s">
        <v>693</v>
      </c>
      <c r="B406" t="s">
        <v>694</v>
      </c>
      <c r="C406" s="83">
        <v>9534</v>
      </c>
      <c r="D406" t="s">
        <v>678</v>
      </c>
      <c r="E406" s="82">
        <v>45176</v>
      </c>
      <c r="F406">
        <v>0</v>
      </c>
      <c r="G406" t="s">
        <v>276</v>
      </c>
      <c r="H406">
        <v>0</v>
      </c>
      <c r="J406" t="s">
        <v>225</v>
      </c>
      <c r="K406" t="s">
        <v>225</v>
      </c>
      <c r="O406">
        <v>5</v>
      </c>
      <c r="Q406">
        <v>0</v>
      </c>
      <c r="R406">
        <v>0</v>
      </c>
      <c r="S406">
        <v>0</v>
      </c>
      <c r="T406">
        <v>0</v>
      </c>
      <c r="V406" t="s">
        <v>225</v>
      </c>
    </row>
    <row r="407" spans="1:22">
      <c r="A407" s="81" t="s">
        <v>695</v>
      </c>
      <c r="B407" t="s">
        <v>696</v>
      </c>
      <c r="C407">
        <v>0</v>
      </c>
      <c r="D407" t="s">
        <v>678</v>
      </c>
      <c r="E407" s="82">
        <v>45181</v>
      </c>
      <c r="F407">
        <v>0</v>
      </c>
      <c r="G407" t="s">
        <v>276</v>
      </c>
      <c r="H407">
        <v>0</v>
      </c>
      <c r="J407" t="s">
        <v>225</v>
      </c>
      <c r="K407" t="s">
        <v>225</v>
      </c>
      <c r="O407">
        <v>5</v>
      </c>
      <c r="Q407">
        <v>0</v>
      </c>
      <c r="R407">
        <v>0</v>
      </c>
      <c r="S407">
        <v>0</v>
      </c>
      <c r="T407">
        <v>0</v>
      </c>
      <c r="V407" t="s">
        <v>225</v>
      </c>
    </row>
    <row r="408" spans="1:22">
      <c r="A408" s="81" t="s">
        <v>697</v>
      </c>
      <c r="B408" t="s">
        <v>698</v>
      </c>
      <c r="C408">
        <v>0</v>
      </c>
      <c r="F408">
        <v>0</v>
      </c>
      <c r="G408" t="s">
        <v>276</v>
      </c>
      <c r="H408" s="83">
        <v>20000</v>
      </c>
      <c r="J408" t="s">
        <v>225</v>
      </c>
      <c r="K408" t="s">
        <v>225</v>
      </c>
      <c r="Q408">
        <v>0</v>
      </c>
      <c r="R408">
        <v>0</v>
      </c>
      <c r="S408">
        <v>0</v>
      </c>
      <c r="T408">
        <v>0</v>
      </c>
      <c r="V408" t="s">
        <v>225</v>
      </c>
    </row>
    <row r="409" spans="1:22">
      <c r="A409" s="81" t="s">
        <v>699</v>
      </c>
      <c r="B409" t="s">
        <v>700</v>
      </c>
      <c r="C409">
        <v>0</v>
      </c>
      <c r="D409" t="s">
        <v>678</v>
      </c>
      <c r="E409" s="82">
        <v>45176</v>
      </c>
      <c r="F409">
        <v>0</v>
      </c>
      <c r="G409" t="s">
        <v>276</v>
      </c>
      <c r="H409">
        <v>0</v>
      </c>
      <c r="J409" t="s">
        <v>225</v>
      </c>
      <c r="K409" t="s">
        <v>225</v>
      </c>
      <c r="Q409">
        <v>0</v>
      </c>
      <c r="R409">
        <v>0</v>
      </c>
      <c r="S409">
        <v>0</v>
      </c>
      <c r="T409">
        <v>0</v>
      </c>
      <c r="V409" t="s">
        <v>225</v>
      </c>
    </row>
    <row r="410" spans="1:22">
      <c r="A410" s="81" t="s">
        <v>701</v>
      </c>
      <c r="B410" t="s">
        <v>702</v>
      </c>
      <c r="C410">
        <v>0</v>
      </c>
      <c r="D410" t="s">
        <v>678</v>
      </c>
      <c r="E410" s="82">
        <v>44908</v>
      </c>
      <c r="F410">
        <v>0</v>
      </c>
      <c r="G410" t="s">
        <v>276</v>
      </c>
      <c r="H410">
        <v>0</v>
      </c>
      <c r="J410" t="s">
        <v>225</v>
      </c>
      <c r="K410" t="s">
        <v>225</v>
      </c>
      <c r="Q410">
        <v>0</v>
      </c>
      <c r="R410">
        <v>0</v>
      </c>
      <c r="S410">
        <v>0</v>
      </c>
      <c r="T410">
        <v>0</v>
      </c>
      <c r="V410" t="s">
        <v>225</v>
      </c>
    </row>
    <row r="411" spans="1:22">
      <c r="A411" s="81" t="s">
        <v>703</v>
      </c>
      <c r="B411" t="s">
        <v>704</v>
      </c>
      <c r="C411" s="83">
        <v>10200</v>
      </c>
      <c r="D411" t="s">
        <v>678</v>
      </c>
      <c r="E411" s="82">
        <v>45184</v>
      </c>
      <c r="F411">
        <v>0</v>
      </c>
      <c r="G411" t="s">
        <v>276</v>
      </c>
      <c r="H411">
        <v>0</v>
      </c>
      <c r="J411" t="s">
        <v>225</v>
      </c>
      <c r="K411" t="s">
        <v>225</v>
      </c>
      <c r="O411">
        <v>5</v>
      </c>
      <c r="Q411">
        <v>0</v>
      </c>
      <c r="R411">
        <v>0</v>
      </c>
      <c r="S411">
        <v>0</v>
      </c>
      <c r="T411">
        <v>0</v>
      </c>
      <c r="V411" t="s">
        <v>225</v>
      </c>
    </row>
    <row r="412" spans="1:22">
      <c r="A412" s="81" t="s">
        <v>705</v>
      </c>
      <c r="B412" t="s">
        <v>706</v>
      </c>
      <c r="C412">
        <v>0</v>
      </c>
      <c r="D412" t="s">
        <v>678</v>
      </c>
      <c r="E412" s="82">
        <v>45176</v>
      </c>
      <c r="F412">
        <v>0</v>
      </c>
      <c r="G412" t="s">
        <v>276</v>
      </c>
      <c r="H412">
        <v>0</v>
      </c>
      <c r="J412" t="s">
        <v>225</v>
      </c>
      <c r="K412" t="s">
        <v>225</v>
      </c>
      <c r="O412">
        <v>5</v>
      </c>
      <c r="Q412">
        <v>0</v>
      </c>
      <c r="R412">
        <v>0</v>
      </c>
      <c r="S412">
        <v>0</v>
      </c>
      <c r="T412">
        <v>0</v>
      </c>
      <c r="V412" t="s">
        <v>225</v>
      </c>
    </row>
    <row r="413" spans="1:22">
      <c r="A413" s="81" t="s">
        <v>707</v>
      </c>
      <c r="B413" t="s">
        <v>708</v>
      </c>
      <c r="C413" s="83">
        <v>9204</v>
      </c>
      <c r="D413" t="s">
        <v>678</v>
      </c>
      <c r="E413" s="82">
        <v>45180</v>
      </c>
      <c r="F413">
        <v>0</v>
      </c>
      <c r="G413" t="s">
        <v>276</v>
      </c>
      <c r="H413">
        <v>0</v>
      </c>
      <c r="J413" t="s">
        <v>225</v>
      </c>
      <c r="K413" t="s">
        <v>225</v>
      </c>
      <c r="O413">
        <v>5</v>
      </c>
      <c r="Q413">
        <v>0</v>
      </c>
      <c r="R413">
        <v>0</v>
      </c>
      <c r="S413">
        <v>0</v>
      </c>
      <c r="T413">
        <v>0</v>
      </c>
      <c r="V413" t="s">
        <v>225</v>
      </c>
    </row>
    <row r="414" spans="1:22">
      <c r="A414" s="81" t="s">
        <v>709</v>
      </c>
      <c r="B414" t="s">
        <v>710</v>
      </c>
      <c r="C414">
        <v>0</v>
      </c>
      <c r="D414" t="s">
        <v>678</v>
      </c>
      <c r="E414" s="82">
        <v>45180</v>
      </c>
      <c r="F414">
        <v>0</v>
      </c>
      <c r="G414" t="s">
        <v>276</v>
      </c>
      <c r="H414">
        <v>0</v>
      </c>
      <c r="J414" t="s">
        <v>225</v>
      </c>
      <c r="K414" t="s">
        <v>225</v>
      </c>
      <c r="O414">
        <v>5</v>
      </c>
      <c r="Q414">
        <v>0</v>
      </c>
      <c r="R414">
        <v>0</v>
      </c>
      <c r="S414">
        <v>0</v>
      </c>
      <c r="T414">
        <v>0</v>
      </c>
      <c r="V414" t="s">
        <v>225</v>
      </c>
    </row>
    <row r="415" spans="1:22">
      <c r="A415" s="81" t="s">
        <v>711</v>
      </c>
      <c r="B415" t="s">
        <v>712</v>
      </c>
      <c r="C415">
        <v>0</v>
      </c>
      <c r="D415" t="s">
        <v>678</v>
      </c>
      <c r="E415" s="82">
        <v>45180</v>
      </c>
      <c r="F415">
        <v>0</v>
      </c>
      <c r="G415" t="s">
        <v>276</v>
      </c>
      <c r="H415">
        <v>0</v>
      </c>
      <c r="J415" t="s">
        <v>225</v>
      </c>
      <c r="K415" t="s">
        <v>225</v>
      </c>
      <c r="O415">
        <v>5</v>
      </c>
      <c r="Q415">
        <v>0</v>
      </c>
      <c r="R415">
        <v>0</v>
      </c>
      <c r="S415">
        <v>0</v>
      </c>
      <c r="T415">
        <v>0</v>
      </c>
      <c r="V415" t="s">
        <v>225</v>
      </c>
    </row>
    <row r="416" spans="1:22">
      <c r="A416" s="81" t="s">
        <v>713</v>
      </c>
      <c r="B416" t="s">
        <v>714</v>
      </c>
      <c r="C416" s="83">
        <v>9792</v>
      </c>
      <c r="D416" t="s">
        <v>678</v>
      </c>
      <c r="E416" s="82">
        <v>45184</v>
      </c>
      <c r="F416">
        <v>0</v>
      </c>
      <c r="G416" t="s">
        <v>276</v>
      </c>
      <c r="H416">
        <v>0</v>
      </c>
      <c r="J416" t="s">
        <v>225</v>
      </c>
      <c r="K416" t="s">
        <v>225</v>
      </c>
      <c r="O416">
        <v>5</v>
      </c>
      <c r="Q416">
        <v>0</v>
      </c>
      <c r="R416">
        <v>0</v>
      </c>
      <c r="S416">
        <v>0</v>
      </c>
      <c r="T416">
        <v>0</v>
      </c>
      <c r="V416" t="s">
        <v>225</v>
      </c>
    </row>
    <row r="417" spans="1:22">
      <c r="A417" s="81" t="s">
        <v>715</v>
      </c>
      <c r="B417" t="s">
        <v>716</v>
      </c>
      <c r="C417" s="83">
        <v>9792</v>
      </c>
      <c r="D417" t="s">
        <v>678</v>
      </c>
      <c r="E417" s="82">
        <v>45180</v>
      </c>
      <c r="F417">
        <v>0</v>
      </c>
      <c r="G417" t="s">
        <v>276</v>
      </c>
      <c r="H417">
        <v>0</v>
      </c>
      <c r="J417" t="s">
        <v>225</v>
      </c>
      <c r="K417" t="s">
        <v>225</v>
      </c>
      <c r="O417">
        <v>5</v>
      </c>
      <c r="Q417">
        <v>0</v>
      </c>
      <c r="R417">
        <v>0</v>
      </c>
      <c r="S417">
        <v>0</v>
      </c>
      <c r="T417">
        <v>0</v>
      </c>
      <c r="V417" t="s">
        <v>225</v>
      </c>
    </row>
    <row r="418" spans="1:22">
      <c r="A418" s="81" t="s">
        <v>717</v>
      </c>
      <c r="B418" t="s">
        <v>718</v>
      </c>
      <c r="C418" s="83">
        <v>9792</v>
      </c>
      <c r="D418" t="s">
        <v>678</v>
      </c>
      <c r="E418" s="82">
        <v>45184</v>
      </c>
      <c r="F418">
        <v>0</v>
      </c>
      <c r="G418" t="s">
        <v>276</v>
      </c>
      <c r="H418">
        <v>0</v>
      </c>
      <c r="J418" t="s">
        <v>225</v>
      </c>
      <c r="K418" t="s">
        <v>225</v>
      </c>
      <c r="O418">
        <v>5</v>
      </c>
      <c r="Q418">
        <v>0</v>
      </c>
      <c r="R418">
        <v>0</v>
      </c>
      <c r="S418">
        <v>0</v>
      </c>
      <c r="T418">
        <v>0</v>
      </c>
      <c r="V418" t="s">
        <v>225</v>
      </c>
    </row>
    <row r="419" spans="1:22">
      <c r="A419" s="81" t="s">
        <v>719</v>
      </c>
      <c r="B419" t="s">
        <v>720</v>
      </c>
      <c r="C419" s="83">
        <v>9792</v>
      </c>
      <c r="D419" t="s">
        <v>678</v>
      </c>
      <c r="E419" s="82">
        <v>45184</v>
      </c>
      <c r="F419">
        <v>0</v>
      </c>
      <c r="G419" t="s">
        <v>276</v>
      </c>
      <c r="H419">
        <v>0</v>
      </c>
      <c r="J419" t="s">
        <v>225</v>
      </c>
      <c r="K419" t="s">
        <v>225</v>
      </c>
      <c r="O419">
        <v>5</v>
      </c>
      <c r="Q419">
        <v>0</v>
      </c>
      <c r="R419">
        <v>0</v>
      </c>
      <c r="S419">
        <v>0</v>
      </c>
      <c r="T419">
        <v>0</v>
      </c>
      <c r="V419" t="s">
        <v>225</v>
      </c>
    </row>
    <row r="420" spans="1:22">
      <c r="A420" s="81" t="s">
        <v>721</v>
      </c>
      <c r="B420" t="s">
        <v>722</v>
      </c>
      <c r="C420">
        <v>0</v>
      </c>
      <c r="D420" t="s">
        <v>609</v>
      </c>
      <c r="E420" s="82">
        <v>44071</v>
      </c>
      <c r="F420">
        <v>0</v>
      </c>
      <c r="G420" t="s">
        <v>229</v>
      </c>
      <c r="H420">
        <v>0</v>
      </c>
      <c r="J420" t="s">
        <v>225</v>
      </c>
      <c r="K420" t="s">
        <v>225</v>
      </c>
      <c r="Q420">
        <v>0</v>
      </c>
      <c r="R420">
        <v>0</v>
      </c>
      <c r="S420">
        <v>0</v>
      </c>
      <c r="T420">
        <v>0</v>
      </c>
      <c r="V420" t="s">
        <v>225</v>
      </c>
    </row>
    <row r="421" spans="1:22">
      <c r="A421" s="81" t="s">
        <v>723</v>
      </c>
      <c r="B421" t="s">
        <v>724</v>
      </c>
      <c r="C421">
        <v>0</v>
      </c>
      <c r="D421" t="s">
        <v>609</v>
      </c>
      <c r="E421" s="82">
        <v>44071</v>
      </c>
      <c r="F421">
        <v>0</v>
      </c>
      <c r="G421" t="s">
        <v>229</v>
      </c>
      <c r="H421">
        <v>0</v>
      </c>
      <c r="J421" t="s">
        <v>225</v>
      </c>
      <c r="K421" t="s">
        <v>225</v>
      </c>
      <c r="Q421">
        <v>0</v>
      </c>
      <c r="R421">
        <v>0</v>
      </c>
      <c r="S421">
        <v>0</v>
      </c>
      <c r="T421">
        <v>0</v>
      </c>
      <c r="V421" t="s">
        <v>225</v>
      </c>
    </row>
    <row r="422" spans="1:22">
      <c r="A422" s="81" t="s">
        <v>725</v>
      </c>
      <c r="B422" t="s">
        <v>726</v>
      </c>
      <c r="C422">
        <v>0</v>
      </c>
      <c r="E422" s="82">
        <v>44071</v>
      </c>
      <c r="F422">
        <v>0</v>
      </c>
      <c r="G422" t="s">
        <v>229</v>
      </c>
      <c r="H422">
        <v>0</v>
      </c>
      <c r="J422" t="s">
        <v>225</v>
      </c>
      <c r="K422" t="s">
        <v>225</v>
      </c>
      <c r="Q422">
        <v>0</v>
      </c>
      <c r="R422">
        <v>0</v>
      </c>
      <c r="S422">
        <v>0</v>
      </c>
      <c r="T422">
        <v>0</v>
      </c>
      <c r="V422" t="s">
        <v>225</v>
      </c>
    </row>
    <row r="423" spans="1:22">
      <c r="A423" s="81" t="s">
        <v>727</v>
      </c>
      <c r="B423" t="s">
        <v>728</v>
      </c>
      <c r="C423">
        <v>0</v>
      </c>
      <c r="E423" s="82">
        <v>44071</v>
      </c>
      <c r="F423">
        <v>0</v>
      </c>
      <c r="G423" t="s">
        <v>229</v>
      </c>
      <c r="H423">
        <v>0</v>
      </c>
      <c r="J423" t="s">
        <v>225</v>
      </c>
      <c r="K423" t="s">
        <v>225</v>
      </c>
      <c r="Q423">
        <v>0</v>
      </c>
      <c r="R423">
        <v>0</v>
      </c>
      <c r="S423">
        <v>0</v>
      </c>
      <c r="T423">
        <v>0</v>
      </c>
      <c r="V423" t="s">
        <v>225</v>
      </c>
    </row>
    <row r="424" spans="1:22">
      <c r="A424" s="81" t="s">
        <v>729</v>
      </c>
      <c r="B424" t="s">
        <v>730</v>
      </c>
      <c r="C424">
        <v>0</v>
      </c>
      <c r="D424" t="s">
        <v>678</v>
      </c>
      <c r="E424" s="82">
        <v>44530</v>
      </c>
      <c r="F424">
        <v>0</v>
      </c>
      <c r="G424" t="s">
        <v>276</v>
      </c>
      <c r="H424">
        <v>0</v>
      </c>
      <c r="J424" t="s">
        <v>225</v>
      </c>
      <c r="K424" t="s">
        <v>225</v>
      </c>
      <c r="Q424">
        <v>0</v>
      </c>
      <c r="R424">
        <v>0</v>
      </c>
      <c r="S424">
        <v>0</v>
      </c>
      <c r="T424">
        <v>0</v>
      </c>
      <c r="V424" t="s">
        <v>225</v>
      </c>
    </row>
    <row r="425" spans="1:22">
      <c r="A425" s="81" t="s">
        <v>731</v>
      </c>
      <c r="B425" t="s">
        <v>732</v>
      </c>
      <c r="C425">
        <v>0</v>
      </c>
      <c r="D425" t="s">
        <v>678</v>
      </c>
      <c r="E425" s="82">
        <v>45176</v>
      </c>
      <c r="F425">
        <v>0</v>
      </c>
      <c r="G425" t="s">
        <v>276</v>
      </c>
      <c r="H425">
        <v>0</v>
      </c>
      <c r="J425" t="s">
        <v>225</v>
      </c>
      <c r="K425" t="s">
        <v>225</v>
      </c>
      <c r="O425">
        <v>5</v>
      </c>
      <c r="Q425">
        <v>0</v>
      </c>
      <c r="R425">
        <v>0</v>
      </c>
      <c r="S425">
        <v>0</v>
      </c>
      <c r="T425">
        <v>0</v>
      </c>
      <c r="V425" t="s">
        <v>225</v>
      </c>
    </row>
    <row r="426" spans="1:22">
      <c r="A426" s="81" t="s">
        <v>733</v>
      </c>
      <c r="B426" t="s">
        <v>734</v>
      </c>
      <c r="C426">
        <v>0</v>
      </c>
      <c r="D426" t="s">
        <v>678</v>
      </c>
      <c r="E426" s="82">
        <v>45176</v>
      </c>
      <c r="F426">
        <v>0</v>
      </c>
      <c r="G426" t="s">
        <v>276</v>
      </c>
      <c r="H426">
        <v>0</v>
      </c>
      <c r="J426" t="s">
        <v>225</v>
      </c>
      <c r="K426" t="s">
        <v>225</v>
      </c>
      <c r="O426">
        <v>5</v>
      </c>
      <c r="Q426">
        <v>0</v>
      </c>
      <c r="R426">
        <v>0</v>
      </c>
      <c r="S426">
        <v>0</v>
      </c>
      <c r="T426">
        <v>0</v>
      </c>
      <c r="V426" t="s">
        <v>225</v>
      </c>
    </row>
    <row r="427" spans="1:22">
      <c r="A427" s="81" t="s">
        <v>735</v>
      </c>
      <c r="B427" t="s">
        <v>736</v>
      </c>
      <c r="C427">
        <v>0</v>
      </c>
      <c r="D427" t="s">
        <v>678</v>
      </c>
      <c r="E427" s="82">
        <v>45184</v>
      </c>
      <c r="F427">
        <v>0</v>
      </c>
      <c r="G427" t="s">
        <v>276</v>
      </c>
      <c r="H427">
        <v>0</v>
      </c>
      <c r="J427" t="s">
        <v>225</v>
      </c>
      <c r="K427" t="s">
        <v>225</v>
      </c>
      <c r="O427">
        <v>5</v>
      </c>
      <c r="Q427">
        <v>0</v>
      </c>
      <c r="R427">
        <v>0</v>
      </c>
      <c r="S427">
        <v>0</v>
      </c>
      <c r="T427">
        <v>0</v>
      </c>
      <c r="V427" t="s">
        <v>225</v>
      </c>
    </row>
    <row r="428" spans="1:22">
      <c r="A428" s="81" t="s">
        <v>737</v>
      </c>
      <c r="B428" t="s">
        <v>738</v>
      </c>
      <c r="C428" s="83">
        <v>10080</v>
      </c>
      <c r="D428" t="s">
        <v>678</v>
      </c>
      <c r="E428" s="82">
        <v>45176</v>
      </c>
      <c r="F428">
        <v>0</v>
      </c>
      <c r="G428" t="s">
        <v>276</v>
      </c>
      <c r="H428">
        <v>0</v>
      </c>
      <c r="J428" t="s">
        <v>225</v>
      </c>
      <c r="K428" t="s">
        <v>225</v>
      </c>
      <c r="O428">
        <v>5</v>
      </c>
      <c r="Q428">
        <v>0</v>
      </c>
      <c r="R428">
        <v>0</v>
      </c>
      <c r="S428">
        <v>0</v>
      </c>
      <c r="T428">
        <v>0</v>
      </c>
      <c r="V428" t="s">
        <v>225</v>
      </c>
    </row>
    <row r="429" spans="1:22">
      <c r="A429" s="81" t="s">
        <v>739</v>
      </c>
      <c r="B429" t="s">
        <v>740</v>
      </c>
      <c r="C429" s="83">
        <v>10000</v>
      </c>
      <c r="D429" t="s">
        <v>678</v>
      </c>
      <c r="E429" s="82">
        <v>45176</v>
      </c>
      <c r="F429">
        <v>0</v>
      </c>
      <c r="G429" t="s">
        <v>276</v>
      </c>
      <c r="H429">
        <v>0</v>
      </c>
      <c r="J429" t="s">
        <v>225</v>
      </c>
      <c r="K429" t="s">
        <v>225</v>
      </c>
      <c r="O429">
        <v>5</v>
      </c>
      <c r="Q429">
        <v>0</v>
      </c>
      <c r="R429">
        <v>0</v>
      </c>
      <c r="S429">
        <v>0</v>
      </c>
      <c r="T429">
        <v>0</v>
      </c>
      <c r="V429" t="s">
        <v>225</v>
      </c>
    </row>
    <row r="430" spans="1:22">
      <c r="A430" s="81" t="s">
        <v>741</v>
      </c>
      <c r="B430" t="s">
        <v>742</v>
      </c>
      <c r="C430" s="83">
        <v>10000</v>
      </c>
      <c r="D430" t="s">
        <v>678</v>
      </c>
      <c r="E430" s="82">
        <v>45176</v>
      </c>
      <c r="F430">
        <v>0</v>
      </c>
      <c r="G430" t="s">
        <v>276</v>
      </c>
      <c r="H430">
        <v>0</v>
      </c>
      <c r="J430" t="s">
        <v>225</v>
      </c>
      <c r="K430" t="s">
        <v>225</v>
      </c>
      <c r="O430">
        <v>5</v>
      </c>
      <c r="Q430">
        <v>0</v>
      </c>
      <c r="R430">
        <v>0</v>
      </c>
      <c r="S430">
        <v>0</v>
      </c>
      <c r="T430">
        <v>0</v>
      </c>
      <c r="V430" t="s">
        <v>225</v>
      </c>
    </row>
    <row r="431" spans="1:22">
      <c r="A431" s="81" t="s">
        <v>743</v>
      </c>
      <c r="B431" t="s">
        <v>744</v>
      </c>
      <c r="C431">
        <v>0</v>
      </c>
      <c r="D431" t="s">
        <v>678</v>
      </c>
      <c r="E431" s="82">
        <v>45176</v>
      </c>
      <c r="F431">
        <v>0</v>
      </c>
      <c r="G431" t="s">
        <v>276</v>
      </c>
      <c r="H431">
        <v>0</v>
      </c>
      <c r="J431" t="s">
        <v>225</v>
      </c>
      <c r="K431" t="s">
        <v>225</v>
      </c>
      <c r="O431">
        <v>5</v>
      </c>
      <c r="Q431">
        <v>0</v>
      </c>
      <c r="R431">
        <v>0</v>
      </c>
      <c r="S431">
        <v>0</v>
      </c>
      <c r="T431">
        <v>0</v>
      </c>
      <c r="V431" t="s">
        <v>225</v>
      </c>
    </row>
    <row r="432" spans="1:22">
      <c r="A432" s="81" t="s">
        <v>745</v>
      </c>
      <c r="B432" t="s">
        <v>746</v>
      </c>
      <c r="C432">
        <v>0</v>
      </c>
      <c r="D432" t="s">
        <v>678</v>
      </c>
      <c r="E432" s="82">
        <v>45176</v>
      </c>
      <c r="F432">
        <v>0</v>
      </c>
      <c r="G432" t="s">
        <v>276</v>
      </c>
      <c r="H432">
        <v>0</v>
      </c>
      <c r="J432" t="s">
        <v>225</v>
      </c>
      <c r="K432" t="s">
        <v>225</v>
      </c>
      <c r="O432">
        <v>5</v>
      </c>
      <c r="Q432">
        <v>0</v>
      </c>
      <c r="R432">
        <v>0</v>
      </c>
      <c r="S432">
        <v>0</v>
      </c>
      <c r="T432">
        <v>0</v>
      </c>
      <c r="V432" t="s">
        <v>225</v>
      </c>
    </row>
    <row r="433" spans="1:22">
      <c r="A433" s="81" t="s">
        <v>747</v>
      </c>
      <c r="B433" t="s">
        <v>748</v>
      </c>
      <c r="C433">
        <v>0</v>
      </c>
      <c r="D433" t="s">
        <v>678</v>
      </c>
      <c r="E433" s="82">
        <v>45181</v>
      </c>
      <c r="F433">
        <v>0</v>
      </c>
      <c r="G433" t="s">
        <v>276</v>
      </c>
      <c r="H433">
        <v>0</v>
      </c>
      <c r="J433" t="s">
        <v>225</v>
      </c>
      <c r="K433" t="s">
        <v>225</v>
      </c>
      <c r="O433">
        <v>5</v>
      </c>
      <c r="Q433">
        <v>0</v>
      </c>
      <c r="R433">
        <v>0</v>
      </c>
      <c r="S433">
        <v>0</v>
      </c>
      <c r="T433">
        <v>0</v>
      </c>
      <c r="V433" t="s">
        <v>225</v>
      </c>
    </row>
    <row r="434" spans="1:22">
      <c r="A434" s="81" t="s">
        <v>749</v>
      </c>
      <c r="B434" t="s">
        <v>750</v>
      </c>
      <c r="C434">
        <v>0</v>
      </c>
      <c r="F434">
        <v>0</v>
      </c>
      <c r="G434" t="s">
        <v>229</v>
      </c>
      <c r="H434">
        <v>0</v>
      </c>
      <c r="J434" t="s">
        <v>225</v>
      </c>
      <c r="K434" t="s">
        <v>225</v>
      </c>
      <c r="Q434">
        <v>0</v>
      </c>
      <c r="R434">
        <v>0</v>
      </c>
      <c r="S434">
        <v>0</v>
      </c>
      <c r="T434">
        <v>0</v>
      </c>
      <c r="V434" t="s">
        <v>225</v>
      </c>
    </row>
    <row r="435" spans="1:22">
      <c r="A435" s="81" t="s">
        <v>751</v>
      </c>
      <c r="B435" t="s">
        <v>752</v>
      </c>
      <c r="C435">
        <v>0</v>
      </c>
      <c r="F435">
        <v>0</v>
      </c>
      <c r="G435" t="s">
        <v>229</v>
      </c>
      <c r="H435">
        <v>0</v>
      </c>
      <c r="J435" t="s">
        <v>225</v>
      </c>
      <c r="K435" t="s">
        <v>225</v>
      </c>
      <c r="Q435">
        <v>0</v>
      </c>
      <c r="R435">
        <v>0</v>
      </c>
      <c r="S435">
        <v>0</v>
      </c>
      <c r="T435">
        <v>0</v>
      </c>
      <c r="V435" t="s">
        <v>225</v>
      </c>
    </row>
    <row r="436" spans="1:22">
      <c r="A436" s="81" t="s">
        <v>753</v>
      </c>
      <c r="B436" t="s">
        <v>754</v>
      </c>
      <c r="C436">
        <v>0</v>
      </c>
      <c r="F436">
        <v>0</v>
      </c>
      <c r="G436" t="s">
        <v>229</v>
      </c>
      <c r="H436">
        <v>0</v>
      </c>
      <c r="J436" t="s">
        <v>225</v>
      </c>
      <c r="K436" t="s">
        <v>225</v>
      </c>
      <c r="Q436">
        <v>0</v>
      </c>
      <c r="R436">
        <v>0</v>
      </c>
      <c r="S436">
        <v>0</v>
      </c>
      <c r="T436">
        <v>0</v>
      </c>
      <c r="V436" t="s">
        <v>226</v>
      </c>
    </row>
    <row r="437" spans="1:22">
      <c r="A437" s="81" t="s">
        <v>755</v>
      </c>
      <c r="B437" t="s">
        <v>756</v>
      </c>
      <c r="C437">
        <v>0</v>
      </c>
      <c r="F437">
        <v>0</v>
      </c>
      <c r="G437" t="s">
        <v>229</v>
      </c>
      <c r="H437">
        <v>0</v>
      </c>
      <c r="J437" t="s">
        <v>225</v>
      </c>
      <c r="K437" t="s">
        <v>225</v>
      </c>
      <c r="Q437">
        <v>0</v>
      </c>
      <c r="R437">
        <v>0</v>
      </c>
      <c r="S437">
        <v>0</v>
      </c>
      <c r="T437">
        <v>0</v>
      </c>
      <c r="V437" t="s">
        <v>225</v>
      </c>
    </row>
    <row r="438" spans="1:22">
      <c r="A438" s="81" t="s">
        <v>757</v>
      </c>
      <c r="B438" t="s">
        <v>756</v>
      </c>
      <c r="C438">
        <v>0</v>
      </c>
      <c r="F438">
        <v>0</v>
      </c>
      <c r="G438" t="s">
        <v>229</v>
      </c>
      <c r="H438">
        <v>0</v>
      </c>
      <c r="J438" t="s">
        <v>225</v>
      </c>
      <c r="K438" t="s">
        <v>225</v>
      </c>
      <c r="Q438">
        <v>0</v>
      </c>
      <c r="R438">
        <v>0</v>
      </c>
      <c r="S438">
        <v>0</v>
      </c>
      <c r="T438">
        <v>0</v>
      </c>
      <c r="V438" t="s">
        <v>225</v>
      </c>
    </row>
    <row r="439" spans="1:22">
      <c r="A439" s="81" t="s">
        <v>758</v>
      </c>
      <c r="B439" t="s">
        <v>759</v>
      </c>
      <c r="C439">
        <v>0</v>
      </c>
      <c r="F439">
        <v>0</v>
      </c>
      <c r="G439" t="s">
        <v>229</v>
      </c>
      <c r="H439">
        <v>0</v>
      </c>
      <c r="J439" t="s">
        <v>225</v>
      </c>
      <c r="K439" t="s">
        <v>225</v>
      </c>
      <c r="Q439">
        <v>0</v>
      </c>
      <c r="R439">
        <v>0</v>
      </c>
      <c r="S439">
        <v>0</v>
      </c>
      <c r="T439">
        <v>0</v>
      </c>
      <c r="V439" t="s">
        <v>225</v>
      </c>
    </row>
    <row r="440" spans="1:22">
      <c r="A440" s="81" t="s">
        <v>760</v>
      </c>
      <c r="B440" t="s">
        <v>759</v>
      </c>
      <c r="C440">
        <v>0</v>
      </c>
      <c r="F440">
        <v>0</v>
      </c>
      <c r="G440" t="s">
        <v>229</v>
      </c>
      <c r="H440">
        <v>0</v>
      </c>
      <c r="J440" t="s">
        <v>225</v>
      </c>
      <c r="K440" t="s">
        <v>225</v>
      </c>
      <c r="Q440">
        <v>0</v>
      </c>
      <c r="R440">
        <v>0</v>
      </c>
      <c r="S440">
        <v>0</v>
      </c>
      <c r="T440">
        <v>0</v>
      </c>
      <c r="V440" t="s">
        <v>225</v>
      </c>
    </row>
    <row r="441" spans="1:22">
      <c r="A441" s="81" t="s">
        <v>761</v>
      </c>
      <c r="B441" t="s">
        <v>762</v>
      </c>
      <c r="C441">
        <v>0</v>
      </c>
      <c r="F441">
        <v>0</v>
      </c>
      <c r="G441" t="s">
        <v>229</v>
      </c>
      <c r="H441">
        <v>0</v>
      </c>
      <c r="J441" t="s">
        <v>225</v>
      </c>
      <c r="K441" t="s">
        <v>225</v>
      </c>
      <c r="Q441">
        <v>0</v>
      </c>
      <c r="R441">
        <v>0</v>
      </c>
      <c r="S441">
        <v>0</v>
      </c>
      <c r="T441">
        <v>0</v>
      </c>
      <c r="V441" t="s">
        <v>225</v>
      </c>
    </row>
    <row r="442" spans="1:22">
      <c r="A442" s="81" t="s">
        <v>763</v>
      </c>
      <c r="B442" t="s">
        <v>762</v>
      </c>
      <c r="C442">
        <v>0</v>
      </c>
      <c r="F442">
        <v>0</v>
      </c>
      <c r="G442" t="s">
        <v>229</v>
      </c>
      <c r="H442">
        <v>0</v>
      </c>
      <c r="J442" t="s">
        <v>225</v>
      </c>
      <c r="K442" t="s">
        <v>225</v>
      </c>
      <c r="Q442">
        <v>0</v>
      </c>
      <c r="R442">
        <v>0</v>
      </c>
      <c r="S442">
        <v>0</v>
      </c>
      <c r="T442">
        <v>0</v>
      </c>
      <c r="V442" t="s">
        <v>225</v>
      </c>
    </row>
    <row r="443" spans="1:22">
      <c r="A443" s="81" t="s">
        <v>764</v>
      </c>
      <c r="B443" t="s">
        <v>765</v>
      </c>
      <c r="C443">
        <v>0</v>
      </c>
      <c r="F443">
        <v>0</v>
      </c>
      <c r="G443" t="s">
        <v>229</v>
      </c>
      <c r="H443">
        <v>0</v>
      </c>
      <c r="J443" t="s">
        <v>225</v>
      </c>
      <c r="K443" t="s">
        <v>225</v>
      </c>
      <c r="Q443">
        <v>0</v>
      </c>
      <c r="R443">
        <v>0</v>
      </c>
      <c r="S443">
        <v>0</v>
      </c>
      <c r="T443">
        <v>0</v>
      </c>
      <c r="V443" t="s">
        <v>225</v>
      </c>
    </row>
    <row r="444" spans="1:22">
      <c r="A444" s="81" t="s">
        <v>766</v>
      </c>
      <c r="B444" t="s">
        <v>765</v>
      </c>
      <c r="C444">
        <v>0</v>
      </c>
      <c r="F444">
        <v>0</v>
      </c>
      <c r="G444" t="s">
        <v>229</v>
      </c>
      <c r="H444">
        <v>0</v>
      </c>
      <c r="J444" t="s">
        <v>225</v>
      </c>
      <c r="K444" t="s">
        <v>225</v>
      </c>
      <c r="Q444">
        <v>0</v>
      </c>
      <c r="R444">
        <v>0</v>
      </c>
      <c r="S444">
        <v>0</v>
      </c>
      <c r="T444">
        <v>0</v>
      </c>
      <c r="V444" t="s">
        <v>225</v>
      </c>
    </row>
    <row r="445" spans="1:22">
      <c r="A445" s="81" t="s">
        <v>767</v>
      </c>
      <c r="B445" t="s">
        <v>768</v>
      </c>
      <c r="C445">
        <v>0</v>
      </c>
      <c r="F445">
        <v>0</v>
      </c>
      <c r="G445" t="s">
        <v>229</v>
      </c>
      <c r="H445">
        <v>0</v>
      </c>
      <c r="J445" t="s">
        <v>225</v>
      </c>
      <c r="K445" t="s">
        <v>225</v>
      </c>
      <c r="Q445">
        <v>0</v>
      </c>
      <c r="R445">
        <v>0</v>
      </c>
      <c r="S445">
        <v>0</v>
      </c>
      <c r="T445">
        <v>0</v>
      </c>
      <c r="V445" t="s">
        <v>225</v>
      </c>
    </row>
    <row r="446" spans="1:22">
      <c r="A446" s="81" t="s">
        <v>769</v>
      </c>
      <c r="B446" t="s">
        <v>768</v>
      </c>
      <c r="C446">
        <v>0</v>
      </c>
      <c r="F446">
        <v>0</v>
      </c>
      <c r="G446" t="s">
        <v>229</v>
      </c>
      <c r="H446">
        <v>0</v>
      </c>
      <c r="J446" t="s">
        <v>225</v>
      </c>
      <c r="K446" t="s">
        <v>225</v>
      </c>
      <c r="Q446">
        <v>0</v>
      </c>
      <c r="R446">
        <v>0</v>
      </c>
      <c r="S446">
        <v>0</v>
      </c>
      <c r="T446">
        <v>0</v>
      </c>
      <c r="V446" t="s">
        <v>225</v>
      </c>
    </row>
    <row r="447" spans="1:22">
      <c r="A447" s="81" t="s">
        <v>770</v>
      </c>
      <c r="B447" t="s">
        <v>771</v>
      </c>
      <c r="C447">
        <v>0</v>
      </c>
      <c r="F447">
        <v>0</v>
      </c>
      <c r="G447" t="s">
        <v>229</v>
      </c>
      <c r="H447">
        <v>0</v>
      </c>
      <c r="J447" t="s">
        <v>225</v>
      </c>
      <c r="K447" t="s">
        <v>225</v>
      </c>
      <c r="Q447">
        <v>0</v>
      </c>
      <c r="R447">
        <v>0</v>
      </c>
      <c r="S447">
        <v>0</v>
      </c>
      <c r="T447">
        <v>0</v>
      </c>
      <c r="V447" t="s">
        <v>225</v>
      </c>
    </row>
    <row r="448" spans="1:22">
      <c r="A448" s="81" t="s">
        <v>772</v>
      </c>
      <c r="B448" t="s">
        <v>773</v>
      </c>
      <c r="C448">
        <v>0</v>
      </c>
      <c r="F448">
        <v>0</v>
      </c>
      <c r="G448" t="s">
        <v>229</v>
      </c>
      <c r="H448">
        <v>0</v>
      </c>
      <c r="J448" t="s">
        <v>225</v>
      </c>
      <c r="K448" t="s">
        <v>225</v>
      </c>
      <c r="Q448">
        <v>0</v>
      </c>
      <c r="R448">
        <v>0</v>
      </c>
      <c r="S448">
        <v>0</v>
      </c>
      <c r="T448">
        <v>0</v>
      </c>
      <c r="V448" t="s">
        <v>225</v>
      </c>
    </row>
    <row r="449" spans="1:22">
      <c r="A449" s="81" t="s">
        <v>774</v>
      </c>
      <c r="B449" t="s">
        <v>773</v>
      </c>
      <c r="C449">
        <v>0</v>
      </c>
      <c r="F449">
        <v>0</v>
      </c>
      <c r="G449" t="s">
        <v>229</v>
      </c>
      <c r="H449">
        <v>0</v>
      </c>
      <c r="J449" t="s">
        <v>225</v>
      </c>
      <c r="K449" t="s">
        <v>225</v>
      </c>
      <c r="Q449">
        <v>0</v>
      </c>
      <c r="R449">
        <v>0</v>
      </c>
      <c r="S449">
        <v>0</v>
      </c>
      <c r="T449">
        <v>0</v>
      </c>
      <c r="V449" t="s">
        <v>225</v>
      </c>
    </row>
    <row r="450" spans="1:22">
      <c r="A450" s="81" t="s">
        <v>775</v>
      </c>
      <c r="B450" t="s">
        <v>776</v>
      </c>
      <c r="C450">
        <v>0</v>
      </c>
      <c r="F450">
        <v>0</v>
      </c>
      <c r="G450" t="s">
        <v>229</v>
      </c>
      <c r="H450">
        <v>0</v>
      </c>
      <c r="J450" t="s">
        <v>225</v>
      </c>
      <c r="K450" t="s">
        <v>225</v>
      </c>
      <c r="Q450">
        <v>0</v>
      </c>
      <c r="R450">
        <v>0</v>
      </c>
      <c r="S450">
        <v>0</v>
      </c>
      <c r="T450">
        <v>0</v>
      </c>
      <c r="V450" t="s">
        <v>225</v>
      </c>
    </row>
    <row r="451" spans="1:22">
      <c r="A451" s="81" t="s">
        <v>777</v>
      </c>
      <c r="B451" t="s">
        <v>776</v>
      </c>
      <c r="C451">
        <v>0</v>
      </c>
      <c r="F451">
        <v>0</v>
      </c>
      <c r="G451" t="s">
        <v>229</v>
      </c>
      <c r="H451">
        <v>0</v>
      </c>
      <c r="J451" t="s">
        <v>225</v>
      </c>
      <c r="K451" t="s">
        <v>225</v>
      </c>
      <c r="Q451">
        <v>0</v>
      </c>
      <c r="R451">
        <v>0</v>
      </c>
      <c r="S451">
        <v>0</v>
      </c>
      <c r="T451">
        <v>0</v>
      </c>
      <c r="V451" t="s">
        <v>225</v>
      </c>
    </row>
    <row r="452" spans="1:22">
      <c r="A452" s="81" t="s">
        <v>778</v>
      </c>
      <c r="B452" t="s">
        <v>779</v>
      </c>
      <c r="C452">
        <v>0</v>
      </c>
      <c r="F452">
        <v>0</v>
      </c>
      <c r="G452" t="s">
        <v>229</v>
      </c>
      <c r="H452">
        <v>0</v>
      </c>
      <c r="J452" t="s">
        <v>225</v>
      </c>
      <c r="K452" t="s">
        <v>225</v>
      </c>
      <c r="Q452">
        <v>0</v>
      </c>
      <c r="R452">
        <v>0</v>
      </c>
      <c r="S452">
        <v>0</v>
      </c>
      <c r="T452">
        <v>0</v>
      </c>
      <c r="V452" t="s">
        <v>225</v>
      </c>
    </row>
    <row r="453" spans="1:22">
      <c r="A453" s="81" t="s">
        <v>780</v>
      </c>
      <c r="B453" t="s">
        <v>779</v>
      </c>
      <c r="C453">
        <v>0</v>
      </c>
      <c r="F453">
        <v>0</v>
      </c>
      <c r="G453" t="s">
        <v>229</v>
      </c>
      <c r="H453">
        <v>0</v>
      </c>
      <c r="J453" t="s">
        <v>225</v>
      </c>
      <c r="K453" t="s">
        <v>225</v>
      </c>
      <c r="Q453">
        <v>0</v>
      </c>
      <c r="R453">
        <v>0</v>
      </c>
      <c r="S453">
        <v>0</v>
      </c>
      <c r="T453">
        <v>0</v>
      </c>
      <c r="V453" t="s">
        <v>225</v>
      </c>
    </row>
    <row r="454" spans="1:22">
      <c r="A454" s="81" t="s">
        <v>781</v>
      </c>
      <c r="B454" t="s">
        <v>782</v>
      </c>
      <c r="C454">
        <v>0</v>
      </c>
      <c r="D454" t="s">
        <v>678</v>
      </c>
      <c r="E454" s="82">
        <v>44515</v>
      </c>
      <c r="F454">
        <v>0</v>
      </c>
      <c r="G454" t="s">
        <v>276</v>
      </c>
      <c r="H454">
        <v>0</v>
      </c>
      <c r="J454" t="s">
        <v>225</v>
      </c>
      <c r="K454" t="s">
        <v>225</v>
      </c>
      <c r="Q454">
        <v>0</v>
      </c>
      <c r="R454">
        <v>0</v>
      </c>
      <c r="S454">
        <v>0</v>
      </c>
      <c r="T454">
        <v>0</v>
      </c>
      <c r="V454" t="s">
        <v>225</v>
      </c>
    </row>
    <row r="455" spans="1:22">
      <c r="A455" s="81" t="s">
        <v>783</v>
      </c>
      <c r="B455" t="s">
        <v>784</v>
      </c>
      <c r="C455">
        <v>0</v>
      </c>
      <c r="F455">
        <v>0</v>
      </c>
      <c r="G455" t="s">
        <v>276</v>
      </c>
      <c r="H455" s="83">
        <v>20000</v>
      </c>
      <c r="J455" t="s">
        <v>225</v>
      </c>
      <c r="K455" t="s">
        <v>225</v>
      </c>
      <c r="Q455">
        <v>0</v>
      </c>
      <c r="R455">
        <v>0</v>
      </c>
      <c r="S455">
        <v>0</v>
      </c>
      <c r="T455">
        <v>0</v>
      </c>
      <c r="V455" t="s">
        <v>225</v>
      </c>
    </row>
    <row r="456" spans="1:22">
      <c r="A456" s="81" t="s">
        <v>785</v>
      </c>
      <c r="B456" t="s">
        <v>786</v>
      </c>
      <c r="C456">
        <v>0</v>
      </c>
      <c r="D456" t="s">
        <v>787</v>
      </c>
      <c r="E456" s="82">
        <v>44620</v>
      </c>
      <c r="F456">
        <v>0</v>
      </c>
      <c r="G456" t="s">
        <v>276</v>
      </c>
      <c r="H456" s="83">
        <v>9540</v>
      </c>
      <c r="J456" t="s">
        <v>225</v>
      </c>
      <c r="K456" t="s">
        <v>225</v>
      </c>
      <c r="Q456">
        <v>0</v>
      </c>
      <c r="R456">
        <v>0</v>
      </c>
      <c r="S456">
        <v>0</v>
      </c>
      <c r="T456">
        <v>0</v>
      </c>
      <c r="V456" t="s">
        <v>225</v>
      </c>
    </row>
    <row r="457" spans="1:22">
      <c r="A457" s="81" t="s">
        <v>788</v>
      </c>
      <c r="B457" t="s">
        <v>789</v>
      </c>
      <c r="C457">
        <v>0</v>
      </c>
      <c r="D457" t="s">
        <v>787</v>
      </c>
      <c r="E457" s="82">
        <v>44620</v>
      </c>
      <c r="F457">
        <v>0</v>
      </c>
      <c r="G457" t="s">
        <v>276</v>
      </c>
      <c r="H457">
        <v>0</v>
      </c>
      <c r="J457" t="s">
        <v>225</v>
      </c>
      <c r="K457" t="s">
        <v>225</v>
      </c>
      <c r="Q457">
        <v>0</v>
      </c>
      <c r="R457">
        <v>0</v>
      </c>
      <c r="S457">
        <v>0</v>
      </c>
      <c r="T457">
        <v>0</v>
      </c>
      <c r="V457" t="s">
        <v>225</v>
      </c>
    </row>
    <row r="458" spans="1:22">
      <c r="A458" s="81" t="s">
        <v>790</v>
      </c>
      <c r="B458" t="s">
        <v>791</v>
      </c>
      <c r="C458">
        <v>0</v>
      </c>
      <c r="D458" t="s">
        <v>787</v>
      </c>
      <c r="E458" s="82">
        <v>44620</v>
      </c>
      <c r="F458">
        <v>0</v>
      </c>
      <c r="G458" t="s">
        <v>276</v>
      </c>
      <c r="H458">
        <v>0</v>
      </c>
      <c r="J458" t="s">
        <v>225</v>
      </c>
      <c r="K458" t="s">
        <v>225</v>
      </c>
      <c r="Q458">
        <v>0</v>
      </c>
      <c r="R458">
        <v>0</v>
      </c>
      <c r="S458">
        <v>0</v>
      </c>
      <c r="T458">
        <v>0</v>
      </c>
      <c r="V458" t="s">
        <v>225</v>
      </c>
    </row>
    <row r="459" spans="1:22">
      <c r="A459" s="81" t="s">
        <v>792</v>
      </c>
      <c r="B459" t="s">
        <v>793</v>
      </c>
      <c r="C459">
        <v>0</v>
      </c>
      <c r="D459" t="s">
        <v>787</v>
      </c>
      <c r="E459" s="82">
        <v>44620</v>
      </c>
      <c r="F459">
        <v>0</v>
      </c>
      <c r="G459" t="s">
        <v>276</v>
      </c>
      <c r="H459">
        <v>0</v>
      </c>
      <c r="J459" t="s">
        <v>225</v>
      </c>
      <c r="K459" t="s">
        <v>225</v>
      </c>
      <c r="Q459">
        <v>0</v>
      </c>
      <c r="R459">
        <v>0</v>
      </c>
      <c r="S459">
        <v>0</v>
      </c>
      <c r="T459">
        <v>0</v>
      </c>
      <c r="V459" t="s">
        <v>225</v>
      </c>
    </row>
    <row r="460" spans="1:22">
      <c r="A460" s="81" t="s">
        <v>794</v>
      </c>
      <c r="B460" t="s">
        <v>795</v>
      </c>
      <c r="C460">
        <v>0</v>
      </c>
      <c r="D460" t="s">
        <v>787</v>
      </c>
      <c r="E460" s="82">
        <v>44620</v>
      </c>
      <c r="F460">
        <v>0</v>
      </c>
      <c r="G460" t="s">
        <v>276</v>
      </c>
      <c r="H460" s="83">
        <v>9168</v>
      </c>
      <c r="J460" t="s">
        <v>225</v>
      </c>
      <c r="K460" t="s">
        <v>225</v>
      </c>
      <c r="Q460">
        <v>0</v>
      </c>
      <c r="R460">
        <v>0</v>
      </c>
      <c r="S460">
        <v>0</v>
      </c>
      <c r="T460">
        <v>0</v>
      </c>
      <c r="V460" t="s">
        <v>225</v>
      </c>
    </row>
    <row r="461" spans="1:22">
      <c r="A461" s="81" t="s">
        <v>796</v>
      </c>
      <c r="B461" t="s">
        <v>797</v>
      </c>
      <c r="C461">
        <v>0</v>
      </c>
      <c r="D461" t="s">
        <v>787</v>
      </c>
      <c r="E461" s="82">
        <v>44620</v>
      </c>
      <c r="F461">
        <v>0</v>
      </c>
      <c r="G461" t="s">
        <v>276</v>
      </c>
      <c r="H461">
        <v>0</v>
      </c>
      <c r="J461" t="s">
        <v>225</v>
      </c>
      <c r="K461" t="s">
        <v>225</v>
      </c>
      <c r="Q461">
        <v>0</v>
      </c>
      <c r="R461">
        <v>0</v>
      </c>
      <c r="S461">
        <v>0</v>
      </c>
      <c r="T461">
        <v>0</v>
      </c>
      <c r="V461" t="s">
        <v>225</v>
      </c>
    </row>
    <row r="462" spans="1:22">
      <c r="A462" s="81" t="s">
        <v>798</v>
      </c>
      <c r="B462" t="s">
        <v>799</v>
      </c>
      <c r="C462">
        <v>0</v>
      </c>
      <c r="D462" t="s">
        <v>787</v>
      </c>
      <c r="E462" s="82">
        <v>44620</v>
      </c>
      <c r="F462">
        <v>0</v>
      </c>
      <c r="G462" t="s">
        <v>276</v>
      </c>
      <c r="H462">
        <v>0</v>
      </c>
      <c r="J462" t="s">
        <v>225</v>
      </c>
      <c r="K462" t="s">
        <v>225</v>
      </c>
      <c r="Q462">
        <v>0</v>
      </c>
      <c r="R462">
        <v>0</v>
      </c>
      <c r="S462">
        <v>0</v>
      </c>
      <c r="T462">
        <v>0</v>
      </c>
      <c r="V462" t="s">
        <v>225</v>
      </c>
    </row>
    <row r="463" spans="1:22">
      <c r="A463" s="81" t="s">
        <v>800</v>
      </c>
      <c r="B463" t="s">
        <v>801</v>
      </c>
      <c r="C463">
        <v>0</v>
      </c>
      <c r="D463" t="s">
        <v>787</v>
      </c>
      <c r="E463" s="82">
        <v>44620</v>
      </c>
      <c r="F463">
        <v>0</v>
      </c>
      <c r="G463" t="s">
        <v>276</v>
      </c>
      <c r="H463">
        <v>0</v>
      </c>
      <c r="J463" t="s">
        <v>225</v>
      </c>
      <c r="K463" t="s">
        <v>225</v>
      </c>
      <c r="Q463">
        <v>0</v>
      </c>
      <c r="R463">
        <v>0</v>
      </c>
      <c r="S463">
        <v>0</v>
      </c>
      <c r="T463">
        <v>0</v>
      </c>
      <c r="V463" t="s">
        <v>225</v>
      </c>
    </row>
    <row r="464" spans="1:22">
      <c r="A464" s="81" t="s">
        <v>802</v>
      </c>
      <c r="B464" t="s">
        <v>803</v>
      </c>
      <c r="C464">
        <v>0</v>
      </c>
      <c r="D464" t="s">
        <v>787</v>
      </c>
      <c r="E464" s="82">
        <v>44620</v>
      </c>
      <c r="F464">
        <v>0</v>
      </c>
      <c r="G464" t="s">
        <v>276</v>
      </c>
      <c r="H464">
        <v>0</v>
      </c>
      <c r="J464" t="s">
        <v>225</v>
      </c>
      <c r="K464" t="s">
        <v>225</v>
      </c>
      <c r="Q464">
        <v>0</v>
      </c>
      <c r="R464">
        <v>0</v>
      </c>
      <c r="S464">
        <v>0</v>
      </c>
      <c r="T464">
        <v>0</v>
      </c>
      <c r="V464" t="s">
        <v>225</v>
      </c>
    </row>
    <row r="465" spans="1:22">
      <c r="A465" s="81" t="s">
        <v>804</v>
      </c>
      <c r="B465" t="s">
        <v>805</v>
      </c>
      <c r="C465">
        <v>0</v>
      </c>
      <c r="D465" t="s">
        <v>787</v>
      </c>
      <c r="E465" s="82">
        <v>44620</v>
      </c>
      <c r="F465">
        <v>0</v>
      </c>
      <c r="G465" t="s">
        <v>276</v>
      </c>
      <c r="H465">
        <v>0</v>
      </c>
      <c r="J465" t="s">
        <v>225</v>
      </c>
      <c r="K465" t="s">
        <v>225</v>
      </c>
      <c r="Q465">
        <v>0</v>
      </c>
      <c r="R465">
        <v>0</v>
      </c>
      <c r="S465">
        <v>0</v>
      </c>
      <c r="T465">
        <v>0</v>
      </c>
      <c r="V465" t="s">
        <v>225</v>
      </c>
    </row>
    <row r="466" spans="1:22">
      <c r="A466" s="81" t="s">
        <v>806</v>
      </c>
      <c r="B466" t="s">
        <v>807</v>
      </c>
      <c r="C466">
        <v>0</v>
      </c>
      <c r="D466" t="s">
        <v>787</v>
      </c>
      <c r="E466" s="82">
        <v>45959</v>
      </c>
      <c r="F466">
        <v>0</v>
      </c>
      <c r="G466" t="s">
        <v>276</v>
      </c>
      <c r="H466">
        <v>0</v>
      </c>
      <c r="J466" t="s">
        <v>225</v>
      </c>
      <c r="K466" t="s">
        <v>225</v>
      </c>
      <c r="Q466">
        <v>0</v>
      </c>
      <c r="R466">
        <v>0</v>
      </c>
      <c r="S466">
        <v>0</v>
      </c>
      <c r="T466">
        <v>0</v>
      </c>
      <c r="V466" t="s">
        <v>225</v>
      </c>
    </row>
    <row r="467" spans="1:22">
      <c r="A467" s="81" t="s">
        <v>808</v>
      </c>
      <c r="B467" t="s">
        <v>809</v>
      </c>
      <c r="C467">
        <v>0</v>
      </c>
      <c r="D467" t="s">
        <v>787</v>
      </c>
      <c r="E467" s="82">
        <v>44683</v>
      </c>
      <c r="F467">
        <v>0</v>
      </c>
      <c r="G467" t="s">
        <v>276</v>
      </c>
      <c r="H467">
        <v>0</v>
      </c>
      <c r="J467" t="s">
        <v>225</v>
      </c>
      <c r="K467" t="s">
        <v>225</v>
      </c>
      <c r="Q467">
        <v>0</v>
      </c>
      <c r="R467">
        <v>0</v>
      </c>
      <c r="S467">
        <v>0</v>
      </c>
      <c r="T467">
        <v>0</v>
      </c>
      <c r="V467" t="s">
        <v>225</v>
      </c>
    </row>
    <row r="468" spans="1:22">
      <c r="A468" s="81" t="s">
        <v>810</v>
      </c>
      <c r="B468" t="s">
        <v>811</v>
      </c>
      <c r="C468">
        <v>0</v>
      </c>
      <c r="D468" t="s">
        <v>787</v>
      </c>
      <c r="E468" s="82">
        <v>44620</v>
      </c>
      <c r="F468">
        <v>0</v>
      </c>
      <c r="G468" t="s">
        <v>276</v>
      </c>
      <c r="H468">
        <v>0</v>
      </c>
      <c r="J468" t="s">
        <v>225</v>
      </c>
      <c r="K468" t="s">
        <v>225</v>
      </c>
      <c r="Q468">
        <v>0</v>
      </c>
      <c r="R468">
        <v>0</v>
      </c>
      <c r="S468">
        <v>0</v>
      </c>
      <c r="T468">
        <v>0</v>
      </c>
      <c r="V468" t="s">
        <v>225</v>
      </c>
    </row>
    <row r="469" spans="1:22">
      <c r="A469" s="81" t="s">
        <v>812</v>
      </c>
      <c r="B469" t="s">
        <v>813</v>
      </c>
      <c r="C469">
        <v>0</v>
      </c>
      <c r="D469" t="s">
        <v>787</v>
      </c>
      <c r="E469" s="82">
        <v>44620</v>
      </c>
      <c r="F469">
        <v>0</v>
      </c>
      <c r="G469" t="s">
        <v>276</v>
      </c>
      <c r="H469">
        <v>0</v>
      </c>
      <c r="J469" t="s">
        <v>225</v>
      </c>
      <c r="K469" t="s">
        <v>225</v>
      </c>
      <c r="Q469">
        <v>0</v>
      </c>
      <c r="R469">
        <v>0</v>
      </c>
      <c r="S469">
        <v>0</v>
      </c>
      <c r="T469">
        <v>0</v>
      </c>
      <c r="V469" t="s">
        <v>225</v>
      </c>
    </row>
    <row r="470" spans="1:22">
      <c r="A470" s="81" t="s">
        <v>814</v>
      </c>
      <c r="B470" t="s">
        <v>815</v>
      </c>
      <c r="C470">
        <v>0</v>
      </c>
      <c r="D470" t="s">
        <v>787</v>
      </c>
      <c r="E470" s="82">
        <v>44620</v>
      </c>
      <c r="F470">
        <v>0</v>
      </c>
      <c r="G470" t="s">
        <v>276</v>
      </c>
      <c r="H470">
        <v>0</v>
      </c>
      <c r="J470" t="s">
        <v>225</v>
      </c>
      <c r="K470" t="s">
        <v>225</v>
      </c>
      <c r="Q470">
        <v>0</v>
      </c>
      <c r="R470">
        <v>0</v>
      </c>
      <c r="S470">
        <v>0</v>
      </c>
      <c r="T470">
        <v>0</v>
      </c>
      <c r="V470" t="s">
        <v>225</v>
      </c>
    </row>
    <row r="471" spans="1:22">
      <c r="A471" s="81" t="s">
        <v>816</v>
      </c>
      <c r="B471" t="s">
        <v>817</v>
      </c>
      <c r="C471">
        <v>0</v>
      </c>
      <c r="D471" t="s">
        <v>787</v>
      </c>
      <c r="E471" s="82">
        <v>44683</v>
      </c>
      <c r="F471">
        <v>0</v>
      </c>
      <c r="G471" t="s">
        <v>276</v>
      </c>
      <c r="H471" s="83">
        <v>10080</v>
      </c>
      <c r="J471" t="s">
        <v>225</v>
      </c>
      <c r="K471" t="s">
        <v>225</v>
      </c>
      <c r="Q471">
        <v>0</v>
      </c>
      <c r="R471">
        <v>0</v>
      </c>
      <c r="S471">
        <v>0</v>
      </c>
      <c r="T471">
        <v>0</v>
      </c>
      <c r="V471" t="s">
        <v>225</v>
      </c>
    </row>
    <row r="472" spans="1:22">
      <c r="A472" s="81" t="s">
        <v>818</v>
      </c>
      <c r="B472" t="s">
        <v>819</v>
      </c>
      <c r="C472">
        <v>0</v>
      </c>
      <c r="E472" s="82">
        <v>44652</v>
      </c>
      <c r="F472">
        <v>0</v>
      </c>
      <c r="G472" t="s">
        <v>276</v>
      </c>
      <c r="H472">
        <v>0</v>
      </c>
      <c r="J472" t="s">
        <v>225</v>
      </c>
      <c r="K472" t="s">
        <v>225</v>
      </c>
      <c r="Q472">
        <v>0</v>
      </c>
      <c r="R472">
        <v>0</v>
      </c>
      <c r="S472">
        <v>0</v>
      </c>
      <c r="T472">
        <v>0</v>
      </c>
      <c r="V472" t="s">
        <v>225</v>
      </c>
    </row>
    <row r="473" spans="1:22">
      <c r="A473" s="81" t="s">
        <v>820</v>
      </c>
      <c r="B473" t="s">
        <v>821</v>
      </c>
      <c r="C473">
        <v>0</v>
      </c>
      <c r="E473" s="82">
        <v>45840</v>
      </c>
      <c r="F473">
        <v>0</v>
      </c>
      <c r="G473" t="s">
        <v>229</v>
      </c>
      <c r="H473">
        <v>0</v>
      </c>
      <c r="J473" t="s">
        <v>225</v>
      </c>
      <c r="K473" t="s">
        <v>225</v>
      </c>
      <c r="L473">
        <v>5</v>
      </c>
      <c r="M473">
        <v>5</v>
      </c>
      <c r="N473">
        <v>5</v>
      </c>
      <c r="O473">
        <v>5</v>
      </c>
      <c r="Q473">
        <v>0</v>
      </c>
      <c r="R473">
        <v>0</v>
      </c>
      <c r="S473">
        <v>0</v>
      </c>
      <c r="T473">
        <v>0</v>
      </c>
      <c r="V473" t="s">
        <v>225</v>
      </c>
    </row>
    <row r="474" spans="1:22">
      <c r="A474" s="81" t="s">
        <v>822</v>
      </c>
      <c r="B474" t="s">
        <v>823</v>
      </c>
      <c r="C474">
        <v>0</v>
      </c>
      <c r="E474" s="82">
        <v>45840</v>
      </c>
      <c r="F474">
        <v>0</v>
      </c>
      <c r="G474" t="s">
        <v>229</v>
      </c>
      <c r="H474">
        <v>0</v>
      </c>
      <c r="J474" t="s">
        <v>225</v>
      </c>
      <c r="K474" t="s">
        <v>225</v>
      </c>
      <c r="L474">
        <v>5</v>
      </c>
      <c r="M474">
        <v>5</v>
      </c>
      <c r="N474">
        <v>5</v>
      </c>
      <c r="O474">
        <v>5</v>
      </c>
      <c r="Q474">
        <v>0</v>
      </c>
      <c r="R474">
        <v>0</v>
      </c>
      <c r="S474">
        <v>0</v>
      </c>
      <c r="T474">
        <v>0</v>
      </c>
      <c r="V474" t="s">
        <v>225</v>
      </c>
    </row>
    <row r="475" spans="1:22">
      <c r="A475" s="81" t="s">
        <v>824</v>
      </c>
      <c r="B475" t="s">
        <v>824</v>
      </c>
      <c r="C475">
        <v>0</v>
      </c>
      <c r="F475">
        <v>0</v>
      </c>
      <c r="G475" t="s">
        <v>229</v>
      </c>
      <c r="H475">
        <v>0</v>
      </c>
      <c r="J475" t="s">
        <v>225</v>
      </c>
      <c r="K475" t="s">
        <v>225</v>
      </c>
      <c r="Q475">
        <v>0</v>
      </c>
      <c r="R475">
        <v>0</v>
      </c>
      <c r="S475">
        <v>0</v>
      </c>
      <c r="T475">
        <v>0</v>
      </c>
      <c r="V475" t="s">
        <v>225</v>
      </c>
    </row>
    <row r="476" spans="1:22">
      <c r="A476" s="81" t="s">
        <v>825</v>
      </c>
      <c r="B476" t="s">
        <v>826</v>
      </c>
      <c r="C476">
        <v>0</v>
      </c>
      <c r="D476" t="s">
        <v>609</v>
      </c>
      <c r="E476" s="82">
        <v>44756</v>
      </c>
      <c r="F476">
        <v>0</v>
      </c>
      <c r="G476" t="s">
        <v>229</v>
      </c>
      <c r="H476">
        <v>0</v>
      </c>
      <c r="J476" t="s">
        <v>225</v>
      </c>
      <c r="K476" t="s">
        <v>225</v>
      </c>
      <c r="Q476">
        <v>0</v>
      </c>
      <c r="R476">
        <v>0</v>
      </c>
      <c r="S476">
        <v>0</v>
      </c>
      <c r="T476">
        <v>0</v>
      </c>
      <c r="V476" t="s">
        <v>225</v>
      </c>
    </row>
    <row r="477" spans="1:22">
      <c r="A477" s="81" t="s">
        <v>827</v>
      </c>
      <c r="B477" t="s">
        <v>828</v>
      </c>
      <c r="C477">
        <v>0</v>
      </c>
      <c r="F477">
        <v>0</v>
      </c>
      <c r="G477" t="s">
        <v>229</v>
      </c>
      <c r="H477">
        <v>0</v>
      </c>
      <c r="J477" t="s">
        <v>225</v>
      </c>
      <c r="K477" t="s">
        <v>225</v>
      </c>
      <c r="Q477">
        <v>0</v>
      </c>
      <c r="R477">
        <v>0</v>
      </c>
      <c r="S477">
        <v>0</v>
      </c>
      <c r="T477">
        <v>0</v>
      </c>
      <c r="V477" t="s">
        <v>225</v>
      </c>
    </row>
    <row r="478" spans="1:22">
      <c r="A478" s="81" t="s">
        <v>829</v>
      </c>
      <c r="B478" t="s">
        <v>830</v>
      </c>
      <c r="C478">
        <v>0</v>
      </c>
      <c r="F478">
        <v>0</v>
      </c>
      <c r="G478" t="s">
        <v>229</v>
      </c>
      <c r="H478">
        <v>0</v>
      </c>
      <c r="J478" t="s">
        <v>225</v>
      </c>
      <c r="K478" t="s">
        <v>225</v>
      </c>
      <c r="L478">
        <v>5</v>
      </c>
      <c r="M478">
        <v>5</v>
      </c>
      <c r="N478">
        <v>5</v>
      </c>
      <c r="Q478">
        <v>0</v>
      </c>
      <c r="R478">
        <v>0</v>
      </c>
      <c r="S478">
        <v>0</v>
      </c>
      <c r="T478">
        <v>0</v>
      </c>
      <c r="V478" t="s">
        <v>225</v>
      </c>
    </row>
    <row r="479" spans="1:22">
      <c r="A479" s="81" t="s">
        <v>831</v>
      </c>
      <c r="B479" t="s">
        <v>832</v>
      </c>
      <c r="C479">
        <v>0</v>
      </c>
      <c r="D479" t="s">
        <v>393</v>
      </c>
      <c r="F479">
        <v>0</v>
      </c>
      <c r="G479" t="s">
        <v>229</v>
      </c>
      <c r="H479">
        <v>0</v>
      </c>
      <c r="J479" t="s">
        <v>226</v>
      </c>
      <c r="K479" t="s">
        <v>225</v>
      </c>
      <c r="O479">
        <v>5</v>
      </c>
      <c r="Q479">
        <v>0</v>
      </c>
      <c r="R479">
        <v>0</v>
      </c>
      <c r="S479">
        <v>0</v>
      </c>
      <c r="T479">
        <v>0</v>
      </c>
      <c r="V479" t="s">
        <v>225</v>
      </c>
    </row>
    <row r="480" spans="1:22">
      <c r="A480" s="81" t="s">
        <v>833</v>
      </c>
      <c r="B480" t="s">
        <v>834</v>
      </c>
      <c r="C480">
        <v>0</v>
      </c>
      <c r="F480">
        <v>0</v>
      </c>
      <c r="G480" t="s">
        <v>229</v>
      </c>
      <c r="H480">
        <v>0</v>
      </c>
      <c r="J480" t="s">
        <v>226</v>
      </c>
      <c r="K480" t="s">
        <v>225</v>
      </c>
      <c r="Q480">
        <v>0</v>
      </c>
      <c r="R480">
        <v>0</v>
      </c>
      <c r="S480">
        <v>0</v>
      </c>
      <c r="T480">
        <v>0</v>
      </c>
      <c r="V480" t="s">
        <v>225</v>
      </c>
    </row>
    <row r="481" spans="1:22">
      <c r="A481" s="81" t="s">
        <v>835</v>
      </c>
      <c r="B481" t="s">
        <v>836</v>
      </c>
      <c r="C481">
        <v>0</v>
      </c>
      <c r="F481">
        <v>0</v>
      </c>
      <c r="G481" t="s">
        <v>229</v>
      </c>
      <c r="H481">
        <v>0</v>
      </c>
      <c r="J481" t="s">
        <v>225</v>
      </c>
      <c r="K481" t="s">
        <v>225</v>
      </c>
      <c r="Q481">
        <v>0</v>
      </c>
      <c r="R481">
        <v>0</v>
      </c>
      <c r="S481">
        <v>0</v>
      </c>
      <c r="T481">
        <v>0</v>
      </c>
      <c r="V481" t="s">
        <v>225</v>
      </c>
    </row>
    <row r="482" spans="1:22">
      <c r="A482" s="81" t="s">
        <v>837</v>
      </c>
      <c r="B482" t="s">
        <v>838</v>
      </c>
      <c r="C482">
        <v>0</v>
      </c>
      <c r="F482">
        <v>0</v>
      </c>
      <c r="G482" t="s">
        <v>229</v>
      </c>
      <c r="H482">
        <v>0</v>
      </c>
      <c r="J482" t="s">
        <v>225</v>
      </c>
      <c r="K482" t="s">
        <v>225</v>
      </c>
      <c r="Q482">
        <v>0</v>
      </c>
      <c r="R482">
        <v>0</v>
      </c>
      <c r="S482">
        <v>0</v>
      </c>
      <c r="T482">
        <v>0</v>
      </c>
      <c r="V482" t="s">
        <v>225</v>
      </c>
    </row>
    <row r="483" spans="1:22">
      <c r="A483" s="81" t="s">
        <v>839</v>
      </c>
      <c r="B483" t="s">
        <v>840</v>
      </c>
      <c r="C483">
        <v>0</v>
      </c>
      <c r="D483" t="s">
        <v>393</v>
      </c>
      <c r="F483">
        <v>0</v>
      </c>
      <c r="G483" t="s">
        <v>229</v>
      </c>
      <c r="H483">
        <v>0</v>
      </c>
      <c r="J483" t="s">
        <v>226</v>
      </c>
      <c r="K483" t="s">
        <v>225</v>
      </c>
      <c r="O483">
        <v>5</v>
      </c>
      <c r="Q483">
        <v>0</v>
      </c>
      <c r="R483">
        <v>0</v>
      </c>
      <c r="S483">
        <v>0</v>
      </c>
      <c r="T483">
        <v>0</v>
      </c>
      <c r="V483" t="s">
        <v>225</v>
      </c>
    </row>
    <row r="484" spans="1:22">
      <c r="A484" s="81" t="s">
        <v>841</v>
      </c>
      <c r="B484" t="s">
        <v>842</v>
      </c>
      <c r="C484">
        <v>0</v>
      </c>
      <c r="F484">
        <v>0</v>
      </c>
      <c r="G484" t="s">
        <v>229</v>
      </c>
      <c r="H484">
        <v>0</v>
      </c>
      <c r="J484" t="s">
        <v>225</v>
      </c>
      <c r="K484" t="s">
        <v>226</v>
      </c>
      <c r="Q484">
        <v>0</v>
      </c>
      <c r="R484">
        <v>0</v>
      </c>
      <c r="S484">
        <v>0</v>
      </c>
      <c r="T484">
        <v>0</v>
      </c>
      <c r="V484" t="s">
        <v>225</v>
      </c>
    </row>
    <row r="485" spans="1:22">
      <c r="A485" s="81" t="s">
        <v>843</v>
      </c>
      <c r="B485" t="s">
        <v>844</v>
      </c>
      <c r="C485">
        <v>0</v>
      </c>
      <c r="F485">
        <v>0</v>
      </c>
      <c r="G485" t="s">
        <v>229</v>
      </c>
      <c r="H485">
        <v>0</v>
      </c>
      <c r="J485" t="s">
        <v>225</v>
      </c>
      <c r="K485" t="s">
        <v>225</v>
      </c>
      <c r="Q485">
        <v>0</v>
      </c>
      <c r="R485">
        <v>0</v>
      </c>
      <c r="S485">
        <v>0</v>
      </c>
      <c r="T485">
        <v>0</v>
      </c>
      <c r="V485" t="s">
        <v>225</v>
      </c>
    </row>
    <row r="486" spans="1:22">
      <c r="A486" s="81" t="s">
        <v>845</v>
      </c>
      <c r="B486" t="s">
        <v>846</v>
      </c>
      <c r="C486">
        <v>0</v>
      </c>
      <c r="E486" s="82">
        <v>45289</v>
      </c>
      <c r="F486">
        <v>0</v>
      </c>
      <c r="G486" t="s">
        <v>276</v>
      </c>
      <c r="H486">
        <v>0</v>
      </c>
      <c r="J486" t="s">
        <v>225</v>
      </c>
      <c r="K486" t="s">
        <v>225</v>
      </c>
      <c r="Q486">
        <v>0</v>
      </c>
      <c r="R486">
        <v>0</v>
      </c>
      <c r="S486">
        <v>0</v>
      </c>
      <c r="T486">
        <v>0</v>
      </c>
      <c r="V486" t="s">
        <v>225</v>
      </c>
    </row>
    <row r="487" spans="1:22">
      <c r="A487" s="81" t="s">
        <v>847</v>
      </c>
      <c r="B487" t="s">
        <v>848</v>
      </c>
      <c r="C487">
        <v>0</v>
      </c>
      <c r="E487" s="82">
        <v>44848</v>
      </c>
      <c r="F487">
        <v>0</v>
      </c>
      <c r="G487" t="s">
        <v>276</v>
      </c>
      <c r="H487">
        <v>0</v>
      </c>
      <c r="J487" t="s">
        <v>225</v>
      </c>
      <c r="K487" t="s">
        <v>225</v>
      </c>
      <c r="Q487">
        <v>0</v>
      </c>
      <c r="R487">
        <v>0</v>
      </c>
      <c r="S487">
        <v>0</v>
      </c>
      <c r="T487">
        <v>0</v>
      </c>
      <c r="V487" t="s">
        <v>225</v>
      </c>
    </row>
    <row r="488" spans="1:22">
      <c r="A488" s="81" t="s">
        <v>849</v>
      </c>
      <c r="B488" t="s">
        <v>850</v>
      </c>
      <c r="C488">
        <v>0</v>
      </c>
      <c r="D488" t="s">
        <v>609</v>
      </c>
      <c r="F488">
        <v>0</v>
      </c>
      <c r="G488" t="s">
        <v>229</v>
      </c>
      <c r="H488">
        <v>0</v>
      </c>
      <c r="J488" t="s">
        <v>225</v>
      </c>
      <c r="K488" t="s">
        <v>225</v>
      </c>
      <c r="Q488">
        <v>0</v>
      </c>
      <c r="R488">
        <v>0</v>
      </c>
      <c r="S488">
        <v>0</v>
      </c>
      <c r="T488">
        <v>0</v>
      </c>
      <c r="V488" t="s">
        <v>225</v>
      </c>
    </row>
    <row r="489" spans="1:22">
      <c r="A489" s="81" t="s">
        <v>851</v>
      </c>
      <c r="B489" t="s">
        <v>852</v>
      </c>
      <c r="C489">
        <v>0</v>
      </c>
      <c r="D489" t="s">
        <v>609</v>
      </c>
      <c r="F489">
        <v>0</v>
      </c>
      <c r="G489" t="s">
        <v>229</v>
      </c>
      <c r="H489">
        <v>0</v>
      </c>
      <c r="J489" t="s">
        <v>225</v>
      </c>
      <c r="K489" t="s">
        <v>225</v>
      </c>
      <c r="Q489">
        <v>0</v>
      </c>
      <c r="R489">
        <v>0</v>
      </c>
      <c r="S489">
        <v>0</v>
      </c>
      <c r="T489">
        <v>0</v>
      </c>
      <c r="V489" t="s">
        <v>225</v>
      </c>
    </row>
    <row r="490" spans="1:22">
      <c r="A490" s="81" t="s">
        <v>853</v>
      </c>
      <c r="B490" t="s">
        <v>854</v>
      </c>
      <c r="C490">
        <v>0</v>
      </c>
      <c r="D490" t="s">
        <v>609</v>
      </c>
      <c r="F490">
        <v>0</v>
      </c>
      <c r="G490" t="s">
        <v>229</v>
      </c>
      <c r="H490">
        <v>0</v>
      </c>
      <c r="J490" t="s">
        <v>225</v>
      </c>
      <c r="K490" t="s">
        <v>225</v>
      </c>
      <c r="Q490">
        <v>0</v>
      </c>
      <c r="R490">
        <v>0</v>
      </c>
      <c r="S490">
        <v>0</v>
      </c>
      <c r="T490">
        <v>0</v>
      </c>
      <c r="V490" t="s">
        <v>225</v>
      </c>
    </row>
    <row r="491" spans="1:22">
      <c r="A491" s="81" t="s">
        <v>855</v>
      </c>
      <c r="B491" t="s">
        <v>856</v>
      </c>
      <c r="C491">
        <v>0</v>
      </c>
      <c r="D491" t="s">
        <v>609</v>
      </c>
      <c r="F491">
        <v>0</v>
      </c>
      <c r="G491" t="s">
        <v>229</v>
      </c>
      <c r="H491">
        <v>0</v>
      </c>
      <c r="J491" t="s">
        <v>225</v>
      </c>
      <c r="K491" t="s">
        <v>225</v>
      </c>
      <c r="Q491">
        <v>0</v>
      </c>
      <c r="R491">
        <v>0</v>
      </c>
      <c r="S491">
        <v>0</v>
      </c>
      <c r="T491">
        <v>0</v>
      </c>
      <c r="V491" t="s">
        <v>225</v>
      </c>
    </row>
    <row r="492" spans="1:22">
      <c r="A492" s="81" t="s">
        <v>857</v>
      </c>
      <c r="B492" t="s">
        <v>858</v>
      </c>
      <c r="C492">
        <v>0</v>
      </c>
      <c r="D492" t="s">
        <v>609</v>
      </c>
      <c r="F492">
        <v>0</v>
      </c>
      <c r="G492" t="s">
        <v>229</v>
      </c>
      <c r="H492">
        <v>0</v>
      </c>
      <c r="J492" t="s">
        <v>225</v>
      </c>
      <c r="K492" t="s">
        <v>225</v>
      </c>
      <c r="Q492">
        <v>0</v>
      </c>
      <c r="R492">
        <v>0</v>
      </c>
      <c r="S492">
        <v>0</v>
      </c>
      <c r="T492">
        <v>0</v>
      </c>
      <c r="V492" t="s">
        <v>225</v>
      </c>
    </row>
    <row r="493" spans="1:22">
      <c r="A493" s="81" t="s">
        <v>859</v>
      </c>
      <c r="B493" t="s">
        <v>860</v>
      </c>
      <c r="C493">
        <v>0</v>
      </c>
      <c r="D493" t="s">
        <v>609</v>
      </c>
      <c r="F493">
        <v>0</v>
      </c>
      <c r="G493" t="s">
        <v>229</v>
      </c>
      <c r="H493">
        <v>0</v>
      </c>
      <c r="J493" t="s">
        <v>225</v>
      </c>
      <c r="K493" t="s">
        <v>225</v>
      </c>
      <c r="Q493">
        <v>0</v>
      </c>
      <c r="R493">
        <v>0</v>
      </c>
      <c r="S493">
        <v>0</v>
      </c>
      <c r="T493">
        <v>0</v>
      </c>
      <c r="V493" t="s">
        <v>225</v>
      </c>
    </row>
    <row r="494" spans="1:22">
      <c r="A494" s="81" t="s">
        <v>861</v>
      </c>
      <c r="B494" t="s">
        <v>862</v>
      </c>
      <c r="C494">
        <v>0</v>
      </c>
      <c r="D494" t="s">
        <v>609</v>
      </c>
      <c r="F494">
        <v>0</v>
      </c>
      <c r="G494" t="s">
        <v>229</v>
      </c>
      <c r="H494">
        <v>0</v>
      </c>
      <c r="J494" t="s">
        <v>225</v>
      </c>
      <c r="K494" t="s">
        <v>225</v>
      </c>
      <c r="Q494">
        <v>0</v>
      </c>
      <c r="R494">
        <v>0</v>
      </c>
      <c r="S494">
        <v>0</v>
      </c>
      <c r="T494">
        <v>0</v>
      </c>
      <c r="V494" t="s">
        <v>225</v>
      </c>
    </row>
    <row r="495" spans="1:22">
      <c r="A495" s="81" t="s">
        <v>863</v>
      </c>
      <c r="B495" t="s">
        <v>864</v>
      </c>
      <c r="C495">
        <v>0</v>
      </c>
      <c r="D495" t="s">
        <v>609</v>
      </c>
      <c r="F495">
        <v>0</v>
      </c>
      <c r="G495" t="s">
        <v>229</v>
      </c>
      <c r="H495">
        <v>0</v>
      </c>
      <c r="J495" t="s">
        <v>225</v>
      </c>
      <c r="K495" t="s">
        <v>225</v>
      </c>
      <c r="Q495">
        <v>0</v>
      </c>
      <c r="R495">
        <v>0</v>
      </c>
      <c r="S495">
        <v>0</v>
      </c>
      <c r="T495">
        <v>0</v>
      </c>
      <c r="V495" t="s">
        <v>225</v>
      </c>
    </row>
    <row r="496" spans="1:22">
      <c r="A496" s="81" t="s">
        <v>865</v>
      </c>
      <c r="B496" t="s">
        <v>866</v>
      </c>
      <c r="C496">
        <v>0</v>
      </c>
      <c r="D496" t="s">
        <v>609</v>
      </c>
      <c r="F496">
        <v>0</v>
      </c>
      <c r="G496" t="s">
        <v>229</v>
      </c>
      <c r="H496">
        <v>0</v>
      </c>
      <c r="J496" t="s">
        <v>225</v>
      </c>
      <c r="K496" t="s">
        <v>225</v>
      </c>
      <c r="Q496">
        <v>0</v>
      </c>
      <c r="R496">
        <v>0</v>
      </c>
      <c r="S496">
        <v>0</v>
      </c>
      <c r="T496">
        <v>0</v>
      </c>
      <c r="V496" t="s">
        <v>225</v>
      </c>
    </row>
    <row r="497" spans="1:22">
      <c r="A497" s="81" t="s">
        <v>867</v>
      </c>
      <c r="B497" t="s">
        <v>868</v>
      </c>
      <c r="C497">
        <v>0</v>
      </c>
      <c r="D497" t="s">
        <v>609</v>
      </c>
      <c r="F497">
        <v>0</v>
      </c>
      <c r="G497" t="s">
        <v>229</v>
      </c>
      <c r="H497">
        <v>0</v>
      </c>
      <c r="J497" t="s">
        <v>225</v>
      </c>
      <c r="K497" t="s">
        <v>225</v>
      </c>
      <c r="Q497">
        <v>0</v>
      </c>
      <c r="R497">
        <v>0</v>
      </c>
      <c r="S497">
        <v>0</v>
      </c>
      <c r="T497">
        <v>0</v>
      </c>
      <c r="V497" t="s">
        <v>225</v>
      </c>
    </row>
    <row r="498" spans="1:22">
      <c r="A498" s="81" t="s">
        <v>869</v>
      </c>
      <c r="B498" t="s">
        <v>870</v>
      </c>
      <c r="C498">
        <v>0</v>
      </c>
      <c r="D498" t="s">
        <v>609</v>
      </c>
      <c r="F498">
        <v>0</v>
      </c>
      <c r="G498" t="s">
        <v>229</v>
      </c>
      <c r="H498">
        <v>0</v>
      </c>
      <c r="J498" t="s">
        <v>225</v>
      </c>
      <c r="K498" t="s">
        <v>225</v>
      </c>
      <c r="Q498">
        <v>0</v>
      </c>
      <c r="R498">
        <v>0</v>
      </c>
      <c r="S498">
        <v>0</v>
      </c>
      <c r="T498">
        <v>0</v>
      </c>
      <c r="V498" t="s">
        <v>225</v>
      </c>
    </row>
    <row r="499" spans="1:22">
      <c r="A499" s="81" t="s">
        <v>871</v>
      </c>
      <c r="B499" t="s">
        <v>872</v>
      </c>
      <c r="C499">
        <v>0</v>
      </c>
      <c r="D499" t="s">
        <v>609</v>
      </c>
      <c r="F499">
        <v>0</v>
      </c>
      <c r="G499" t="s">
        <v>229</v>
      </c>
      <c r="H499">
        <v>0</v>
      </c>
      <c r="J499" t="s">
        <v>225</v>
      </c>
      <c r="K499" t="s">
        <v>225</v>
      </c>
      <c r="Q499">
        <v>0</v>
      </c>
      <c r="R499">
        <v>0</v>
      </c>
      <c r="S499">
        <v>0</v>
      </c>
      <c r="T499">
        <v>0</v>
      </c>
      <c r="V499" t="s">
        <v>225</v>
      </c>
    </row>
    <row r="500" spans="1:22">
      <c r="A500" s="81" t="s">
        <v>873</v>
      </c>
      <c r="B500" t="s">
        <v>874</v>
      </c>
      <c r="C500">
        <v>0</v>
      </c>
      <c r="D500" t="s">
        <v>609</v>
      </c>
      <c r="F500">
        <v>0</v>
      </c>
      <c r="G500" t="s">
        <v>229</v>
      </c>
      <c r="H500">
        <v>0</v>
      </c>
      <c r="J500" t="s">
        <v>225</v>
      </c>
      <c r="K500" t="s">
        <v>225</v>
      </c>
      <c r="Q500">
        <v>0</v>
      </c>
      <c r="R500">
        <v>0</v>
      </c>
      <c r="S500">
        <v>0</v>
      </c>
      <c r="T500">
        <v>0</v>
      </c>
      <c r="V500" t="s">
        <v>225</v>
      </c>
    </row>
    <row r="501" spans="1:22">
      <c r="A501" s="81" t="s">
        <v>875</v>
      </c>
      <c r="B501" t="s">
        <v>876</v>
      </c>
      <c r="C501">
        <v>0</v>
      </c>
      <c r="D501" t="s">
        <v>609</v>
      </c>
      <c r="F501">
        <v>0</v>
      </c>
      <c r="G501" t="s">
        <v>229</v>
      </c>
      <c r="H501">
        <v>0</v>
      </c>
      <c r="J501" t="s">
        <v>225</v>
      </c>
      <c r="K501" t="s">
        <v>225</v>
      </c>
      <c r="Q501">
        <v>0</v>
      </c>
      <c r="R501">
        <v>0</v>
      </c>
      <c r="S501">
        <v>0</v>
      </c>
      <c r="T501">
        <v>0</v>
      </c>
      <c r="V501" t="s">
        <v>225</v>
      </c>
    </row>
    <row r="502" spans="1:22">
      <c r="A502" s="81" t="s">
        <v>877</v>
      </c>
      <c r="B502" t="s">
        <v>878</v>
      </c>
      <c r="C502">
        <v>0</v>
      </c>
      <c r="D502" t="s">
        <v>609</v>
      </c>
      <c r="F502">
        <v>0</v>
      </c>
      <c r="G502" t="s">
        <v>229</v>
      </c>
      <c r="H502">
        <v>0</v>
      </c>
      <c r="J502" t="s">
        <v>225</v>
      </c>
      <c r="K502" t="s">
        <v>225</v>
      </c>
      <c r="Q502">
        <v>0</v>
      </c>
      <c r="R502">
        <v>0</v>
      </c>
      <c r="S502">
        <v>0</v>
      </c>
      <c r="T502">
        <v>0</v>
      </c>
      <c r="V502" t="s">
        <v>225</v>
      </c>
    </row>
    <row r="503" spans="1:22">
      <c r="A503" s="81" t="s">
        <v>879</v>
      </c>
      <c r="B503" t="s">
        <v>880</v>
      </c>
      <c r="C503">
        <v>0</v>
      </c>
      <c r="D503" t="s">
        <v>609</v>
      </c>
      <c r="F503">
        <v>0</v>
      </c>
      <c r="G503" t="s">
        <v>229</v>
      </c>
      <c r="H503">
        <v>0</v>
      </c>
      <c r="J503" t="s">
        <v>225</v>
      </c>
      <c r="K503" t="s">
        <v>225</v>
      </c>
      <c r="Q503">
        <v>0</v>
      </c>
      <c r="R503">
        <v>0</v>
      </c>
      <c r="S503">
        <v>0</v>
      </c>
      <c r="T503">
        <v>0</v>
      </c>
      <c r="V503" t="s">
        <v>225</v>
      </c>
    </row>
    <row r="504" spans="1:22">
      <c r="A504" s="81" t="s">
        <v>881</v>
      </c>
      <c r="B504" t="s">
        <v>882</v>
      </c>
      <c r="C504">
        <v>0</v>
      </c>
      <c r="D504" t="s">
        <v>609</v>
      </c>
      <c r="F504">
        <v>0</v>
      </c>
      <c r="G504" t="s">
        <v>229</v>
      </c>
      <c r="H504">
        <v>0</v>
      </c>
      <c r="J504" t="s">
        <v>225</v>
      </c>
      <c r="K504" t="s">
        <v>225</v>
      </c>
      <c r="Q504">
        <v>0</v>
      </c>
      <c r="R504">
        <v>0</v>
      </c>
      <c r="S504">
        <v>0</v>
      </c>
      <c r="T504">
        <v>0</v>
      </c>
      <c r="V504" t="s">
        <v>225</v>
      </c>
    </row>
    <row r="505" spans="1:22">
      <c r="A505" s="81" t="s">
        <v>883</v>
      </c>
      <c r="B505" t="s">
        <v>884</v>
      </c>
      <c r="C505">
        <v>0</v>
      </c>
      <c r="D505" t="s">
        <v>609</v>
      </c>
      <c r="F505">
        <v>0</v>
      </c>
      <c r="G505" t="s">
        <v>229</v>
      </c>
      <c r="H505">
        <v>0</v>
      </c>
      <c r="J505" t="s">
        <v>225</v>
      </c>
      <c r="K505" t="s">
        <v>225</v>
      </c>
      <c r="Q505">
        <v>0</v>
      </c>
      <c r="R505">
        <v>0</v>
      </c>
      <c r="S505">
        <v>0</v>
      </c>
      <c r="T505">
        <v>0</v>
      </c>
      <c r="V505" t="s">
        <v>225</v>
      </c>
    </row>
    <row r="506" spans="1:22">
      <c r="A506" s="81" t="s">
        <v>885</v>
      </c>
      <c r="B506" t="s">
        <v>886</v>
      </c>
      <c r="C506">
        <v>0</v>
      </c>
      <c r="D506" t="s">
        <v>609</v>
      </c>
      <c r="F506">
        <v>0</v>
      </c>
      <c r="G506" t="s">
        <v>229</v>
      </c>
      <c r="H506">
        <v>0</v>
      </c>
      <c r="J506" t="s">
        <v>225</v>
      </c>
      <c r="K506" t="s">
        <v>225</v>
      </c>
      <c r="Q506">
        <v>0</v>
      </c>
      <c r="R506">
        <v>0</v>
      </c>
      <c r="S506">
        <v>0</v>
      </c>
      <c r="T506">
        <v>0</v>
      </c>
      <c r="V506" t="s">
        <v>225</v>
      </c>
    </row>
    <row r="507" spans="1:22">
      <c r="A507" s="81" t="s">
        <v>887</v>
      </c>
      <c r="B507" t="s">
        <v>888</v>
      </c>
      <c r="C507">
        <v>0</v>
      </c>
      <c r="D507" t="s">
        <v>609</v>
      </c>
      <c r="F507">
        <v>0</v>
      </c>
      <c r="G507" t="s">
        <v>229</v>
      </c>
      <c r="H507">
        <v>0</v>
      </c>
      <c r="J507" t="s">
        <v>225</v>
      </c>
      <c r="K507" t="s">
        <v>225</v>
      </c>
      <c r="Q507">
        <v>0</v>
      </c>
      <c r="R507">
        <v>0</v>
      </c>
      <c r="S507">
        <v>0</v>
      </c>
      <c r="T507">
        <v>0</v>
      </c>
      <c r="V507" t="s">
        <v>225</v>
      </c>
    </row>
    <row r="508" spans="1:22">
      <c r="A508" s="81" t="s">
        <v>889</v>
      </c>
      <c r="B508" t="s">
        <v>890</v>
      </c>
      <c r="C508">
        <v>0</v>
      </c>
      <c r="D508" t="s">
        <v>609</v>
      </c>
      <c r="F508">
        <v>0</v>
      </c>
      <c r="G508" t="s">
        <v>229</v>
      </c>
      <c r="H508">
        <v>0</v>
      </c>
      <c r="J508" t="s">
        <v>225</v>
      </c>
      <c r="K508" t="s">
        <v>225</v>
      </c>
      <c r="Q508">
        <v>0</v>
      </c>
      <c r="R508">
        <v>0</v>
      </c>
      <c r="S508">
        <v>0</v>
      </c>
      <c r="T508">
        <v>0</v>
      </c>
      <c r="V508" t="s">
        <v>225</v>
      </c>
    </row>
    <row r="509" spans="1:22">
      <c r="A509" s="81" t="s">
        <v>891</v>
      </c>
      <c r="B509" t="s">
        <v>892</v>
      </c>
      <c r="C509">
        <v>0</v>
      </c>
      <c r="D509" t="s">
        <v>609</v>
      </c>
      <c r="F509">
        <v>0</v>
      </c>
      <c r="G509" t="s">
        <v>229</v>
      </c>
      <c r="H509">
        <v>0</v>
      </c>
      <c r="J509" t="s">
        <v>225</v>
      </c>
      <c r="K509" t="s">
        <v>225</v>
      </c>
      <c r="Q509">
        <v>0</v>
      </c>
      <c r="R509">
        <v>0</v>
      </c>
      <c r="S509">
        <v>0</v>
      </c>
      <c r="T509">
        <v>0</v>
      </c>
      <c r="V509" t="s">
        <v>225</v>
      </c>
    </row>
    <row r="510" spans="1:22">
      <c r="A510" s="81" t="s">
        <v>893</v>
      </c>
      <c r="B510" t="s">
        <v>894</v>
      </c>
      <c r="C510">
        <v>0</v>
      </c>
      <c r="D510" t="s">
        <v>609</v>
      </c>
      <c r="F510">
        <v>0</v>
      </c>
      <c r="G510" t="s">
        <v>229</v>
      </c>
      <c r="H510">
        <v>0</v>
      </c>
      <c r="J510" t="s">
        <v>225</v>
      </c>
      <c r="K510" t="s">
        <v>225</v>
      </c>
      <c r="Q510">
        <v>0</v>
      </c>
      <c r="R510">
        <v>0</v>
      </c>
      <c r="S510">
        <v>0</v>
      </c>
      <c r="T510">
        <v>0</v>
      </c>
      <c r="V510" t="s">
        <v>225</v>
      </c>
    </row>
    <row r="511" spans="1:22">
      <c r="A511" s="81" t="s">
        <v>895</v>
      </c>
      <c r="B511" t="s">
        <v>896</v>
      </c>
      <c r="C511">
        <v>0</v>
      </c>
      <c r="D511" t="s">
        <v>609</v>
      </c>
      <c r="F511">
        <v>0</v>
      </c>
      <c r="G511" t="s">
        <v>229</v>
      </c>
      <c r="H511">
        <v>0</v>
      </c>
      <c r="J511" t="s">
        <v>225</v>
      </c>
      <c r="K511" t="s">
        <v>225</v>
      </c>
      <c r="Q511">
        <v>0</v>
      </c>
      <c r="R511">
        <v>0</v>
      </c>
      <c r="S511">
        <v>0</v>
      </c>
      <c r="T511">
        <v>0</v>
      </c>
      <c r="V511" t="s">
        <v>225</v>
      </c>
    </row>
    <row r="512" spans="1:22">
      <c r="A512" s="81" t="s">
        <v>897</v>
      </c>
      <c r="B512" t="s">
        <v>898</v>
      </c>
      <c r="C512">
        <v>0</v>
      </c>
      <c r="D512" t="s">
        <v>609</v>
      </c>
      <c r="F512">
        <v>0</v>
      </c>
      <c r="G512" t="s">
        <v>229</v>
      </c>
      <c r="H512">
        <v>0</v>
      </c>
      <c r="J512" t="s">
        <v>225</v>
      </c>
      <c r="K512" t="s">
        <v>225</v>
      </c>
      <c r="Q512">
        <v>0</v>
      </c>
      <c r="R512">
        <v>0</v>
      </c>
      <c r="S512">
        <v>0</v>
      </c>
      <c r="T512">
        <v>0</v>
      </c>
      <c r="V512" t="s">
        <v>225</v>
      </c>
    </row>
    <row r="513" spans="1:22">
      <c r="A513" s="81" t="s">
        <v>899</v>
      </c>
      <c r="B513" t="s">
        <v>900</v>
      </c>
      <c r="C513">
        <v>0</v>
      </c>
      <c r="D513" t="s">
        <v>609</v>
      </c>
      <c r="F513">
        <v>0</v>
      </c>
      <c r="G513" t="s">
        <v>229</v>
      </c>
      <c r="H513">
        <v>0</v>
      </c>
      <c r="J513" t="s">
        <v>225</v>
      </c>
      <c r="K513" t="s">
        <v>225</v>
      </c>
      <c r="Q513">
        <v>0</v>
      </c>
      <c r="R513">
        <v>0</v>
      </c>
      <c r="S513">
        <v>0</v>
      </c>
      <c r="T513">
        <v>0</v>
      </c>
      <c r="V513" t="s">
        <v>225</v>
      </c>
    </row>
    <row r="514" spans="1:22">
      <c r="A514" s="81" t="s">
        <v>901</v>
      </c>
      <c r="B514" t="s">
        <v>902</v>
      </c>
      <c r="C514">
        <v>0</v>
      </c>
      <c r="D514" t="s">
        <v>609</v>
      </c>
      <c r="F514">
        <v>0</v>
      </c>
      <c r="G514" t="s">
        <v>229</v>
      </c>
      <c r="H514">
        <v>0</v>
      </c>
      <c r="J514" t="s">
        <v>225</v>
      </c>
      <c r="K514" t="s">
        <v>225</v>
      </c>
      <c r="Q514">
        <v>0</v>
      </c>
      <c r="R514">
        <v>0</v>
      </c>
      <c r="S514">
        <v>0</v>
      </c>
      <c r="T514">
        <v>0</v>
      </c>
      <c r="V514" t="s">
        <v>225</v>
      </c>
    </row>
    <row r="515" spans="1:22">
      <c r="A515" s="81" t="s">
        <v>903</v>
      </c>
      <c r="B515" t="s">
        <v>904</v>
      </c>
      <c r="C515">
        <v>0</v>
      </c>
      <c r="D515" t="s">
        <v>609</v>
      </c>
      <c r="F515">
        <v>0</v>
      </c>
      <c r="G515" t="s">
        <v>229</v>
      </c>
      <c r="H515">
        <v>0</v>
      </c>
      <c r="J515" t="s">
        <v>225</v>
      </c>
      <c r="K515" t="s">
        <v>225</v>
      </c>
      <c r="Q515">
        <v>0</v>
      </c>
      <c r="R515">
        <v>0</v>
      </c>
      <c r="S515">
        <v>0</v>
      </c>
      <c r="T515">
        <v>0</v>
      </c>
      <c r="V515" t="s">
        <v>225</v>
      </c>
    </row>
    <row r="516" spans="1:22">
      <c r="A516" s="81" t="s">
        <v>905</v>
      </c>
      <c r="B516" t="s">
        <v>906</v>
      </c>
      <c r="C516">
        <v>0</v>
      </c>
      <c r="D516" t="s">
        <v>609</v>
      </c>
      <c r="F516">
        <v>0</v>
      </c>
      <c r="G516" t="s">
        <v>229</v>
      </c>
      <c r="H516">
        <v>0</v>
      </c>
      <c r="J516" t="s">
        <v>225</v>
      </c>
      <c r="K516" t="s">
        <v>225</v>
      </c>
      <c r="Q516">
        <v>0</v>
      </c>
      <c r="R516">
        <v>0</v>
      </c>
      <c r="S516">
        <v>0</v>
      </c>
      <c r="T516">
        <v>0</v>
      </c>
      <c r="V516" t="s">
        <v>225</v>
      </c>
    </row>
    <row r="517" spans="1:22">
      <c r="A517" s="81" t="s">
        <v>907</v>
      </c>
      <c r="B517" t="s">
        <v>908</v>
      </c>
      <c r="C517">
        <v>0</v>
      </c>
      <c r="D517" t="s">
        <v>609</v>
      </c>
      <c r="F517">
        <v>0</v>
      </c>
      <c r="G517" t="s">
        <v>229</v>
      </c>
      <c r="H517">
        <v>0</v>
      </c>
      <c r="J517" t="s">
        <v>225</v>
      </c>
      <c r="K517" t="s">
        <v>225</v>
      </c>
      <c r="Q517">
        <v>0</v>
      </c>
      <c r="R517">
        <v>0</v>
      </c>
      <c r="S517">
        <v>0</v>
      </c>
      <c r="T517">
        <v>0</v>
      </c>
      <c r="V517" t="s">
        <v>225</v>
      </c>
    </row>
    <row r="518" spans="1:22">
      <c r="A518" s="81" t="s">
        <v>909</v>
      </c>
      <c r="B518" t="s">
        <v>910</v>
      </c>
      <c r="C518">
        <v>0</v>
      </c>
      <c r="D518" t="s">
        <v>609</v>
      </c>
      <c r="F518">
        <v>0</v>
      </c>
      <c r="G518" t="s">
        <v>229</v>
      </c>
      <c r="H518">
        <v>0</v>
      </c>
      <c r="J518" t="s">
        <v>225</v>
      </c>
      <c r="K518" t="s">
        <v>225</v>
      </c>
      <c r="Q518">
        <v>0</v>
      </c>
      <c r="R518">
        <v>0</v>
      </c>
      <c r="S518">
        <v>0</v>
      </c>
      <c r="T518">
        <v>0</v>
      </c>
      <c r="V518" t="s">
        <v>225</v>
      </c>
    </row>
    <row r="519" spans="1:22">
      <c r="A519" s="81" t="s">
        <v>911</v>
      </c>
      <c r="B519" t="s">
        <v>912</v>
      </c>
      <c r="C519">
        <v>0</v>
      </c>
      <c r="D519" t="s">
        <v>609</v>
      </c>
      <c r="F519">
        <v>0</v>
      </c>
      <c r="G519" t="s">
        <v>229</v>
      </c>
      <c r="H519">
        <v>0</v>
      </c>
      <c r="J519" t="s">
        <v>225</v>
      </c>
      <c r="K519" t="s">
        <v>225</v>
      </c>
      <c r="Q519">
        <v>0</v>
      </c>
      <c r="R519">
        <v>0</v>
      </c>
      <c r="S519">
        <v>0</v>
      </c>
      <c r="T519">
        <v>0</v>
      </c>
      <c r="V519" t="s">
        <v>225</v>
      </c>
    </row>
    <row r="520" spans="1:22">
      <c r="A520" s="81" t="s">
        <v>913</v>
      </c>
      <c r="B520" t="s">
        <v>914</v>
      </c>
      <c r="C520">
        <v>0</v>
      </c>
      <c r="D520" t="s">
        <v>609</v>
      </c>
      <c r="F520">
        <v>0</v>
      </c>
      <c r="G520" t="s">
        <v>229</v>
      </c>
      <c r="H520">
        <v>0</v>
      </c>
      <c r="J520" t="s">
        <v>225</v>
      </c>
      <c r="K520" t="s">
        <v>225</v>
      </c>
      <c r="Q520">
        <v>0</v>
      </c>
      <c r="R520">
        <v>0</v>
      </c>
      <c r="S520">
        <v>0</v>
      </c>
      <c r="T520">
        <v>0</v>
      </c>
      <c r="V520" t="s">
        <v>225</v>
      </c>
    </row>
    <row r="521" spans="1:22">
      <c r="A521" s="81" t="s">
        <v>915</v>
      </c>
      <c r="B521" t="s">
        <v>916</v>
      </c>
      <c r="C521">
        <v>0</v>
      </c>
      <c r="D521" t="s">
        <v>609</v>
      </c>
      <c r="F521">
        <v>0</v>
      </c>
      <c r="G521" t="s">
        <v>229</v>
      </c>
      <c r="H521">
        <v>0</v>
      </c>
      <c r="J521" t="s">
        <v>225</v>
      </c>
      <c r="K521" t="s">
        <v>225</v>
      </c>
      <c r="Q521">
        <v>0</v>
      </c>
      <c r="R521">
        <v>0</v>
      </c>
      <c r="S521">
        <v>0</v>
      </c>
      <c r="T521">
        <v>0</v>
      </c>
      <c r="V521" t="s">
        <v>225</v>
      </c>
    </row>
    <row r="522" spans="1:22">
      <c r="A522" s="81" t="s">
        <v>917</v>
      </c>
      <c r="B522" t="s">
        <v>918</v>
      </c>
      <c r="C522">
        <v>0</v>
      </c>
      <c r="D522" t="s">
        <v>609</v>
      </c>
      <c r="F522">
        <v>0</v>
      </c>
      <c r="G522" t="s">
        <v>229</v>
      </c>
      <c r="H522">
        <v>0</v>
      </c>
      <c r="J522" t="s">
        <v>225</v>
      </c>
      <c r="K522" t="s">
        <v>225</v>
      </c>
      <c r="Q522">
        <v>0</v>
      </c>
      <c r="R522">
        <v>0</v>
      </c>
      <c r="S522">
        <v>0</v>
      </c>
      <c r="T522">
        <v>0</v>
      </c>
      <c r="V522" t="s">
        <v>225</v>
      </c>
    </row>
    <row r="523" spans="1:22">
      <c r="A523" s="81" t="s">
        <v>919</v>
      </c>
      <c r="B523" t="s">
        <v>920</v>
      </c>
      <c r="C523">
        <v>0</v>
      </c>
      <c r="D523" t="s">
        <v>609</v>
      </c>
      <c r="F523">
        <v>0</v>
      </c>
      <c r="G523" t="s">
        <v>229</v>
      </c>
      <c r="H523">
        <v>0</v>
      </c>
      <c r="J523" t="s">
        <v>225</v>
      </c>
      <c r="K523" t="s">
        <v>225</v>
      </c>
      <c r="Q523">
        <v>0</v>
      </c>
      <c r="R523">
        <v>0</v>
      </c>
      <c r="S523">
        <v>0</v>
      </c>
      <c r="T523">
        <v>0</v>
      </c>
      <c r="V523" t="s">
        <v>225</v>
      </c>
    </row>
    <row r="524" spans="1:22">
      <c r="A524" s="81" t="s">
        <v>921</v>
      </c>
      <c r="B524" t="s">
        <v>922</v>
      </c>
      <c r="C524">
        <v>0</v>
      </c>
      <c r="D524" t="s">
        <v>609</v>
      </c>
      <c r="F524">
        <v>0</v>
      </c>
      <c r="G524" t="s">
        <v>229</v>
      </c>
      <c r="H524">
        <v>0</v>
      </c>
      <c r="J524" t="s">
        <v>225</v>
      </c>
      <c r="K524" t="s">
        <v>225</v>
      </c>
      <c r="Q524">
        <v>0</v>
      </c>
      <c r="R524">
        <v>0</v>
      </c>
      <c r="S524">
        <v>0</v>
      </c>
      <c r="T524">
        <v>0</v>
      </c>
      <c r="V524" t="s">
        <v>225</v>
      </c>
    </row>
    <row r="525" spans="1:22">
      <c r="A525" s="81" t="s">
        <v>923</v>
      </c>
      <c r="B525" t="s">
        <v>924</v>
      </c>
      <c r="C525">
        <v>0</v>
      </c>
      <c r="D525" t="s">
        <v>609</v>
      </c>
      <c r="F525">
        <v>0</v>
      </c>
      <c r="G525" t="s">
        <v>229</v>
      </c>
      <c r="H525">
        <v>0</v>
      </c>
      <c r="J525" t="s">
        <v>225</v>
      </c>
      <c r="K525" t="s">
        <v>225</v>
      </c>
      <c r="Q525">
        <v>0</v>
      </c>
      <c r="R525">
        <v>0</v>
      </c>
      <c r="S525">
        <v>0</v>
      </c>
      <c r="T525">
        <v>0</v>
      </c>
      <c r="V525" t="s">
        <v>225</v>
      </c>
    </row>
    <row r="526" spans="1:22">
      <c r="A526" s="81" t="s">
        <v>925</v>
      </c>
      <c r="B526" t="s">
        <v>926</v>
      </c>
      <c r="C526">
        <v>0</v>
      </c>
      <c r="D526" t="s">
        <v>609</v>
      </c>
      <c r="F526">
        <v>0</v>
      </c>
      <c r="G526" t="s">
        <v>229</v>
      </c>
      <c r="H526">
        <v>0</v>
      </c>
      <c r="J526" t="s">
        <v>225</v>
      </c>
      <c r="K526" t="s">
        <v>225</v>
      </c>
      <c r="Q526">
        <v>0</v>
      </c>
      <c r="R526">
        <v>0</v>
      </c>
      <c r="S526">
        <v>0</v>
      </c>
      <c r="T526">
        <v>0</v>
      </c>
      <c r="V526" t="s">
        <v>225</v>
      </c>
    </row>
    <row r="527" spans="1:22">
      <c r="A527" s="81" t="s">
        <v>927</v>
      </c>
      <c r="B527" t="s">
        <v>928</v>
      </c>
      <c r="C527">
        <v>0</v>
      </c>
      <c r="D527" t="s">
        <v>609</v>
      </c>
      <c r="F527">
        <v>0</v>
      </c>
      <c r="G527" t="s">
        <v>229</v>
      </c>
      <c r="H527">
        <v>0</v>
      </c>
      <c r="J527" t="s">
        <v>225</v>
      </c>
      <c r="K527" t="s">
        <v>225</v>
      </c>
      <c r="Q527">
        <v>0</v>
      </c>
      <c r="R527">
        <v>0</v>
      </c>
      <c r="S527">
        <v>0</v>
      </c>
      <c r="T527">
        <v>0</v>
      </c>
      <c r="V527" t="s">
        <v>225</v>
      </c>
    </row>
    <row r="528" spans="1:22">
      <c r="A528" s="81" t="s">
        <v>929</v>
      </c>
      <c r="B528" t="s">
        <v>930</v>
      </c>
      <c r="C528">
        <v>0</v>
      </c>
      <c r="D528" t="s">
        <v>609</v>
      </c>
      <c r="F528">
        <v>0</v>
      </c>
      <c r="G528" t="s">
        <v>229</v>
      </c>
      <c r="H528">
        <v>0</v>
      </c>
      <c r="J528" t="s">
        <v>225</v>
      </c>
      <c r="K528" t="s">
        <v>225</v>
      </c>
      <c r="Q528">
        <v>0</v>
      </c>
      <c r="R528">
        <v>0</v>
      </c>
      <c r="S528">
        <v>0</v>
      </c>
      <c r="T528">
        <v>0</v>
      </c>
      <c r="V528" t="s">
        <v>225</v>
      </c>
    </row>
    <row r="529" spans="1:22">
      <c r="A529" s="81" t="s">
        <v>931</v>
      </c>
      <c r="B529" t="s">
        <v>932</v>
      </c>
      <c r="C529">
        <v>0</v>
      </c>
      <c r="D529" t="s">
        <v>609</v>
      </c>
      <c r="F529">
        <v>0</v>
      </c>
      <c r="G529" t="s">
        <v>229</v>
      </c>
      <c r="H529">
        <v>0</v>
      </c>
      <c r="J529" t="s">
        <v>225</v>
      </c>
      <c r="K529" t="s">
        <v>225</v>
      </c>
      <c r="Q529">
        <v>0</v>
      </c>
      <c r="R529">
        <v>0</v>
      </c>
      <c r="S529">
        <v>0</v>
      </c>
      <c r="T529">
        <v>0</v>
      </c>
      <c r="V529" t="s">
        <v>225</v>
      </c>
    </row>
    <row r="530" spans="1:22">
      <c r="A530" s="81" t="s">
        <v>933</v>
      </c>
      <c r="B530" t="s">
        <v>934</v>
      </c>
      <c r="C530">
        <v>0</v>
      </c>
      <c r="D530" t="s">
        <v>609</v>
      </c>
      <c r="F530">
        <v>0</v>
      </c>
      <c r="G530" t="s">
        <v>229</v>
      </c>
      <c r="H530">
        <v>0</v>
      </c>
      <c r="J530" t="s">
        <v>225</v>
      </c>
      <c r="K530" t="s">
        <v>225</v>
      </c>
      <c r="Q530">
        <v>0</v>
      </c>
      <c r="R530">
        <v>0</v>
      </c>
      <c r="S530">
        <v>0</v>
      </c>
      <c r="T530">
        <v>0</v>
      </c>
      <c r="V530" t="s">
        <v>225</v>
      </c>
    </row>
    <row r="531" spans="1:22">
      <c r="A531" s="81" t="s">
        <v>935</v>
      </c>
      <c r="B531" t="s">
        <v>936</v>
      </c>
      <c r="C531">
        <v>0</v>
      </c>
      <c r="D531" t="s">
        <v>609</v>
      </c>
      <c r="F531">
        <v>0</v>
      </c>
      <c r="G531" t="s">
        <v>229</v>
      </c>
      <c r="H531">
        <v>0</v>
      </c>
      <c r="J531" t="s">
        <v>225</v>
      </c>
      <c r="K531" t="s">
        <v>225</v>
      </c>
      <c r="Q531">
        <v>0</v>
      </c>
      <c r="R531">
        <v>0</v>
      </c>
      <c r="S531">
        <v>0</v>
      </c>
      <c r="T531">
        <v>0</v>
      </c>
      <c r="V531" t="s">
        <v>225</v>
      </c>
    </row>
    <row r="532" spans="1:22">
      <c r="A532" s="81" t="s">
        <v>937</v>
      </c>
      <c r="B532" t="s">
        <v>938</v>
      </c>
      <c r="C532">
        <v>0</v>
      </c>
      <c r="D532" t="s">
        <v>609</v>
      </c>
      <c r="F532">
        <v>0</v>
      </c>
      <c r="G532" t="s">
        <v>229</v>
      </c>
      <c r="H532">
        <v>0</v>
      </c>
      <c r="J532" t="s">
        <v>225</v>
      </c>
      <c r="K532" t="s">
        <v>225</v>
      </c>
      <c r="Q532">
        <v>0</v>
      </c>
      <c r="R532">
        <v>0</v>
      </c>
      <c r="S532">
        <v>0</v>
      </c>
      <c r="T532">
        <v>0</v>
      </c>
      <c r="V532" t="s">
        <v>225</v>
      </c>
    </row>
    <row r="533" spans="1:22">
      <c r="A533" s="81" t="s">
        <v>939</v>
      </c>
      <c r="B533" t="s">
        <v>940</v>
      </c>
      <c r="C533">
        <v>0</v>
      </c>
      <c r="D533" t="s">
        <v>609</v>
      </c>
      <c r="F533">
        <v>0</v>
      </c>
      <c r="G533" t="s">
        <v>229</v>
      </c>
      <c r="H533">
        <v>0</v>
      </c>
      <c r="J533" t="s">
        <v>225</v>
      </c>
      <c r="K533" t="s">
        <v>225</v>
      </c>
      <c r="Q533">
        <v>0</v>
      </c>
      <c r="R533">
        <v>0</v>
      </c>
      <c r="S533">
        <v>0</v>
      </c>
      <c r="T533">
        <v>0</v>
      </c>
      <c r="V533" t="s">
        <v>225</v>
      </c>
    </row>
    <row r="534" spans="1:22">
      <c r="A534" s="81" t="s">
        <v>941</v>
      </c>
      <c r="B534" t="s">
        <v>942</v>
      </c>
      <c r="C534">
        <v>0</v>
      </c>
      <c r="D534" t="s">
        <v>609</v>
      </c>
      <c r="F534">
        <v>0</v>
      </c>
      <c r="G534" t="s">
        <v>229</v>
      </c>
      <c r="H534">
        <v>0</v>
      </c>
      <c r="J534" t="s">
        <v>225</v>
      </c>
      <c r="K534" t="s">
        <v>225</v>
      </c>
      <c r="Q534">
        <v>0</v>
      </c>
      <c r="R534">
        <v>0</v>
      </c>
      <c r="S534">
        <v>0</v>
      </c>
      <c r="T534">
        <v>0</v>
      </c>
      <c r="V534" t="s">
        <v>225</v>
      </c>
    </row>
    <row r="535" spans="1:22">
      <c r="A535" s="81" t="s">
        <v>943</v>
      </c>
      <c r="B535" t="s">
        <v>944</v>
      </c>
      <c r="C535">
        <v>0</v>
      </c>
      <c r="D535" t="s">
        <v>609</v>
      </c>
      <c r="F535">
        <v>0</v>
      </c>
      <c r="G535" t="s">
        <v>229</v>
      </c>
      <c r="H535">
        <v>0</v>
      </c>
      <c r="J535" t="s">
        <v>225</v>
      </c>
      <c r="K535" t="s">
        <v>225</v>
      </c>
      <c r="Q535">
        <v>0</v>
      </c>
      <c r="R535">
        <v>0</v>
      </c>
      <c r="S535">
        <v>0</v>
      </c>
      <c r="T535">
        <v>0</v>
      </c>
      <c r="V535" t="s">
        <v>225</v>
      </c>
    </row>
    <row r="536" spans="1:22">
      <c r="A536" s="81" t="s">
        <v>945</v>
      </c>
      <c r="B536" t="s">
        <v>946</v>
      </c>
      <c r="C536">
        <v>0</v>
      </c>
      <c r="D536" t="s">
        <v>609</v>
      </c>
      <c r="F536">
        <v>0</v>
      </c>
      <c r="G536" t="s">
        <v>229</v>
      </c>
      <c r="H536">
        <v>0</v>
      </c>
      <c r="J536" t="s">
        <v>225</v>
      </c>
      <c r="K536" t="s">
        <v>225</v>
      </c>
      <c r="Q536">
        <v>0</v>
      </c>
      <c r="R536">
        <v>0</v>
      </c>
      <c r="S536">
        <v>0</v>
      </c>
      <c r="T536">
        <v>0</v>
      </c>
      <c r="V536" t="s">
        <v>225</v>
      </c>
    </row>
    <row r="537" spans="1:22">
      <c r="A537" s="81" t="s">
        <v>947</v>
      </c>
      <c r="B537" t="s">
        <v>948</v>
      </c>
      <c r="C537">
        <v>0</v>
      </c>
      <c r="D537" t="s">
        <v>609</v>
      </c>
      <c r="F537">
        <v>0</v>
      </c>
      <c r="G537" t="s">
        <v>229</v>
      </c>
      <c r="H537">
        <v>0</v>
      </c>
      <c r="J537" t="s">
        <v>225</v>
      </c>
      <c r="K537" t="s">
        <v>225</v>
      </c>
      <c r="Q537">
        <v>0</v>
      </c>
      <c r="R537">
        <v>0</v>
      </c>
      <c r="S537">
        <v>0</v>
      </c>
      <c r="T537">
        <v>0</v>
      </c>
      <c r="V537" t="s">
        <v>225</v>
      </c>
    </row>
    <row r="538" spans="1:22">
      <c r="A538" s="81" t="s">
        <v>949</v>
      </c>
      <c r="B538" t="s">
        <v>950</v>
      </c>
      <c r="C538">
        <v>0</v>
      </c>
      <c r="F538">
        <v>0</v>
      </c>
      <c r="G538" t="s">
        <v>229</v>
      </c>
      <c r="H538">
        <v>0</v>
      </c>
      <c r="J538" t="s">
        <v>225</v>
      </c>
      <c r="K538" t="s">
        <v>225</v>
      </c>
      <c r="Q538">
        <v>0</v>
      </c>
      <c r="R538">
        <v>0</v>
      </c>
      <c r="S538">
        <v>0</v>
      </c>
      <c r="T538">
        <v>0</v>
      </c>
      <c r="V538" t="s">
        <v>225</v>
      </c>
    </row>
    <row r="539" spans="1:22">
      <c r="A539" s="81" t="s">
        <v>951</v>
      </c>
      <c r="B539" t="s">
        <v>952</v>
      </c>
      <c r="C539">
        <v>0</v>
      </c>
      <c r="F539">
        <v>0</v>
      </c>
      <c r="G539" t="s">
        <v>229</v>
      </c>
      <c r="H539">
        <v>0</v>
      </c>
      <c r="J539" t="s">
        <v>225</v>
      </c>
      <c r="K539" t="s">
        <v>225</v>
      </c>
      <c r="Q539">
        <v>0</v>
      </c>
      <c r="R539">
        <v>0</v>
      </c>
      <c r="S539">
        <v>0</v>
      </c>
      <c r="T539">
        <v>0</v>
      </c>
      <c r="V539" t="s">
        <v>225</v>
      </c>
    </row>
    <row r="540" spans="1:22">
      <c r="A540" s="81" t="s">
        <v>953</v>
      </c>
      <c r="B540" t="s">
        <v>954</v>
      </c>
      <c r="C540">
        <v>0</v>
      </c>
      <c r="F540">
        <v>0</v>
      </c>
      <c r="G540" t="s">
        <v>229</v>
      </c>
      <c r="H540">
        <v>0</v>
      </c>
      <c r="J540" t="s">
        <v>225</v>
      </c>
      <c r="K540" t="s">
        <v>225</v>
      </c>
      <c r="Q540">
        <v>0</v>
      </c>
      <c r="R540">
        <v>0</v>
      </c>
      <c r="S540">
        <v>0</v>
      </c>
      <c r="T540">
        <v>0</v>
      </c>
      <c r="V540" t="s">
        <v>225</v>
      </c>
    </row>
    <row r="541" spans="1:22">
      <c r="A541" s="81" t="s">
        <v>955</v>
      </c>
      <c r="B541" t="s">
        <v>956</v>
      </c>
      <c r="C541">
        <v>0</v>
      </c>
      <c r="E541" s="82">
        <v>45539</v>
      </c>
      <c r="F541">
        <v>0</v>
      </c>
      <c r="G541" t="s">
        <v>229</v>
      </c>
      <c r="H541">
        <v>0</v>
      </c>
      <c r="J541" t="s">
        <v>225</v>
      </c>
      <c r="K541" t="s">
        <v>225</v>
      </c>
      <c r="O541">
        <v>5</v>
      </c>
      <c r="Q541">
        <v>0</v>
      </c>
      <c r="R541">
        <v>0</v>
      </c>
      <c r="S541">
        <v>0</v>
      </c>
      <c r="T541">
        <v>0</v>
      </c>
      <c r="V541" t="s">
        <v>225</v>
      </c>
    </row>
    <row r="542" spans="1:22">
      <c r="A542" s="81" t="s">
        <v>957</v>
      </c>
      <c r="B542" t="s">
        <v>958</v>
      </c>
      <c r="C542">
        <v>0</v>
      </c>
      <c r="E542" s="82">
        <v>45631</v>
      </c>
      <c r="F542">
        <v>0</v>
      </c>
      <c r="G542" t="s">
        <v>229</v>
      </c>
      <c r="H542">
        <v>0</v>
      </c>
      <c r="J542" t="s">
        <v>225</v>
      </c>
      <c r="K542" t="s">
        <v>225</v>
      </c>
      <c r="O542">
        <v>5</v>
      </c>
      <c r="Q542">
        <v>0</v>
      </c>
      <c r="R542">
        <v>0</v>
      </c>
      <c r="S542">
        <v>0</v>
      </c>
      <c r="T542">
        <v>0</v>
      </c>
      <c r="V542" t="s">
        <v>225</v>
      </c>
    </row>
    <row r="543" spans="1:22">
      <c r="A543" s="81" t="s">
        <v>959</v>
      </c>
      <c r="B543" t="s">
        <v>960</v>
      </c>
      <c r="C543">
        <v>0</v>
      </c>
      <c r="E543" s="82">
        <v>45628</v>
      </c>
      <c r="F543">
        <v>0</v>
      </c>
      <c r="G543" t="s">
        <v>229</v>
      </c>
      <c r="H543">
        <v>0</v>
      </c>
      <c r="J543" t="s">
        <v>225</v>
      </c>
      <c r="K543" t="s">
        <v>225</v>
      </c>
      <c r="O543">
        <v>5</v>
      </c>
      <c r="Q543">
        <v>0</v>
      </c>
      <c r="R543">
        <v>0</v>
      </c>
      <c r="S543">
        <v>0</v>
      </c>
      <c r="T543">
        <v>0</v>
      </c>
      <c r="V543" t="s">
        <v>225</v>
      </c>
    </row>
    <row r="544" spans="1:22">
      <c r="A544" s="81" t="s">
        <v>961</v>
      </c>
      <c r="B544" t="s">
        <v>962</v>
      </c>
      <c r="C544">
        <v>0</v>
      </c>
      <c r="F544">
        <v>0</v>
      </c>
      <c r="G544" t="s">
        <v>229</v>
      </c>
      <c r="H544">
        <v>0</v>
      </c>
      <c r="J544" t="s">
        <v>225</v>
      </c>
      <c r="K544" t="s">
        <v>225</v>
      </c>
      <c r="O544">
        <v>5</v>
      </c>
      <c r="Q544">
        <v>0</v>
      </c>
      <c r="R544">
        <v>0</v>
      </c>
      <c r="S544">
        <v>0</v>
      </c>
      <c r="T544">
        <v>0</v>
      </c>
      <c r="V544" t="s">
        <v>225</v>
      </c>
    </row>
    <row r="545" spans="1:22">
      <c r="A545" s="81" t="s">
        <v>963</v>
      </c>
      <c r="B545" t="s">
        <v>964</v>
      </c>
      <c r="C545">
        <v>0</v>
      </c>
      <c r="E545" s="82">
        <v>45898</v>
      </c>
      <c r="F545">
        <v>0</v>
      </c>
      <c r="G545" t="s">
        <v>229</v>
      </c>
      <c r="H545">
        <v>0</v>
      </c>
      <c r="J545" t="s">
        <v>225</v>
      </c>
      <c r="K545" t="s">
        <v>225</v>
      </c>
      <c r="O545">
        <v>5</v>
      </c>
      <c r="Q545">
        <v>0</v>
      </c>
      <c r="R545">
        <v>0</v>
      </c>
      <c r="S545">
        <v>0</v>
      </c>
      <c r="T545">
        <v>0</v>
      </c>
      <c r="V545" t="s">
        <v>225</v>
      </c>
    </row>
    <row r="546" spans="1:22">
      <c r="A546" s="81" t="s">
        <v>965</v>
      </c>
      <c r="B546" t="s">
        <v>966</v>
      </c>
      <c r="C546">
        <v>0</v>
      </c>
      <c r="F546">
        <v>0</v>
      </c>
      <c r="G546" t="s">
        <v>229</v>
      </c>
      <c r="H546">
        <v>0</v>
      </c>
      <c r="J546" t="s">
        <v>225</v>
      </c>
      <c r="K546" t="s">
        <v>225</v>
      </c>
      <c r="O546">
        <v>5</v>
      </c>
      <c r="Q546">
        <v>0</v>
      </c>
      <c r="R546">
        <v>0</v>
      </c>
      <c r="S546">
        <v>0</v>
      </c>
      <c r="T546">
        <v>0</v>
      </c>
      <c r="V546" t="s">
        <v>225</v>
      </c>
    </row>
    <row r="547" spans="1:22">
      <c r="A547" s="81" t="s">
        <v>967</v>
      </c>
      <c r="B547" t="s">
        <v>968</v>
      </c>
      <c r="C547">
        <v>0</v>
      </c>
      <c r="F547">
        <v>0</v>
      </c>
      <c r="G547" t="s">
        <v>229</v>
      </c>
      <c r="H547">
        <v>0</v>
      </c>
      <c r="J547" t="s">
        <v>225</v>
      </c>
      <c r="K547" t="s">
        <v>225</v>
      </c>
      <c r="O547">
        <v>5</v>
      </c>
      <c r="Q547">
        <v>0</v>
      </c>
      <c r="R547">
        <v>0</v>
      </c>
      <c r="S547">
        <v>0</v>
      </c>
      <c r="T547">
        <v>0</v>
      </c>
      <c r="V547" t="s">
        <v>225</v>
      </c>
    </row>
    <row r="548" spans="1:22">
      <c r="A548" s="81" t="s">
        <v>969</v>
      </c>
      <c r="B548" t="s">
        <v>970</v>
      </c>
      <c r="C548">
        <v>0</v>
      </c>
      <c r="E548" s="82">
        <v>45628</v>
      </c>
      <c r="F548">
        <v>0</v>
      </c>
      <c r="G548" t="s">
        <v>229</v>
      </c>
      <c r="H548">
        <v>0</v>
      </c>
      <c r="J548" t="s">
        <v>225</v>
      </c>
      <c r="K548" t="s">
        <v>225</v>
      </c>
      <c r="Q548">
        <v>0</v>
      </c>
      <c r="R548">
        <v>0</v>
      </c>
      <c r="S548">
        <v>0</v>
      </c>
      <c r="T548">
        <v>0</v>
      </c>
      <c r="V548" t="s">
        <v>225</v>
      </c>
    </row>
    <row r="549" spans="1:22">
      <c r="A549" s="81" t="s">
        <v>971</v>
      </c>
      <c r="B549" t="s">
        <v>972</v>
      </c>
      <c r="C549">
        <v>0</v>
      </c>
      <c r="E549" s="82">
        <v>45887</v>
      </c>
      <c r="F549">
        <v>0</v>
      </c>
      <c r="G549" t="s">
        <v>229</v>
      </c>
      <c r="H549">
        <v>0</v>
      </c>
      <c r="J549" t="s">
        <v>225</v>
      </c>
      <c r="K549" t="s">
        <v>225</v>
      </c>
      <c r="O549">
        <v>5</v>
      </c>
      <c r="Q549">
        <v>0</v>
      </c>
      <c r="R549">
        <v>0</v>
      </c>
      <c r="S549">
        <v>0</v>
      </c>
      <c r="T549">
        <v>0</v>
      </c>
      <c r="V549" t="s">
        <v>225</v>
      </c>
    </row>
    <row r="550" spans="1:22">
      <c r="A550" s="81" t="s">
        <v>973</v>
      </c>
      <c r="B550" t="s">
        <v>974</v>
      </c>
      <c r="C550">
        <v>0</v>
      </c>
      <c r="E550" s="82">
        <v>45201</v>
      </c>
      <c r="F550">
        <v>0</v>
      </c>
      <c r="G550" t="s">
        <v>229</v>
      </c>
      <c r="H550">
        <v>0</v>
      </c>
      <c r="J550" t="s">
        <v>225</v>
      </c>
      <c r="K550" t="s">
        <v>225</v>
      </c>
      <c r="Q550">
        <v>0</v>
      </c>
      <c r="R550">
        <v>0</v>
      </c>
      <c r="S550">
        <v>0</v>
      </c>
      <c r="T550">
        <v>0</v>
      </c>
      <c r="V550" t="s">
        <v>225</v>
      </c>
    </row>
    <row r="551" spans="1:22">
      <c r="A551" s="81" t="s">
        <v>975</v>
      </c>
      <c r="B551" t="s">
        <v>976</v>
      </c>
      <c r="C551">
        <v>0</v>
      </c>
      <c r="E551" s="82">
        <v>45555</v>
      </c>
      <c r="F551">
        <v>0</v>
      </c>
      <c r="G551" t="s">
        <v>229</v>
      </c>
      <c r="H551">
        <v>0</v>
      </c>
      <c r="J551" t="s">
        <v>225</v>
      </c>
      <c r="K551" t="s">
        <v>225</v>
      </c>
      <c r="O551">
        <v>5</v>
      </c>
      <c r="Q551">
        <v>0</v>
      </c>
      <c r="R551">
        <v>0</v>
      </c>
      <c r="S551">
        <v>0</v>
      </c>
      <c r="T551">
        <v>0</v>
      </c>
      <c r="V551" t="s">
        <v>225</v>
      </c>
    </row>
    <row r="552" spans="1:22">
      <c r="A552" s="81" t="s">
        <v>977</v>
      </c>
      <c r="B552" t="s">
        <v>978</v>
      </c>
      <c r="C552">
        <v>0</v>
      </c>
      <c r="F552">
        <v>0</v>
      </c>
      <c r="G552" t="s">
        <v>229</v>
      </c>
      <c r="H552">
        <v>0</v>
      </c>
      <c r="J552" t="s">
        <v>225</v>
      </c>
      <c r="K552" t="s">
        <v>225</v>
      </c>
      <c r="O552">
        <v>5</v>
      </c>
      <c r="Q552">
        <v>0</v>
      </c>
      <c r="R552">
        <v>0</v>
      </c>
      <c r="S552">
        <v>0</v>
      </c>
      <c r="T552">
        <v>0</v>
      </c>
      <c r="V552" t="s">
        <v>225</v>
      </c>
    </row>
    <row r="553" spans="1:22">
      <c r="A553" s="81" t="s">
        <v>979</v>
      </c>
      <c r="B553" t="s">
        <v>980</v>
      </c>
      <c r="C553">
        <v>0</v>
      </c>
      <c r="F553">
        <v>0</v>
      </c>
      <c r="G553" t="s">
        <v>229</v>
      </c>
      <c r="H553">
        <v>0</v>
      </c>
      <c r="J553" t="s">
        <v>225</v>
      </c>
      <c r="K553" t="s">
        <v>225</v>
      </c>
      <c r="O553">
        <v>5</v>
      </c>
      <c r="Q553">
        <v>0</v>
      </c>
      <c r="R553">
        <v>0</v>
      </c>
      <c r="S553">
        <v>0</v>
      </c>
      <c r="T553">
        <v>0</v>
      </c>
      <c r="V553" t="s">
        <v>225</v>
      </c>
    </row>
    <row r="554" spans="1:22">
      <c r="A554" s="81" t="s">
        <v>981</v>
      </c>
      <c r="B554" t="s">
        <v>982</v>
      </c>
      <c r="C554">
        <v>0</v>
      </c>
      <c r="F554">
        <v>0</v>
      </c>
      <c r="G554" t="s">
        <v>229</v>
      </c>
      <c r="H554">
        <v>0</v>
      </c>
      <c r="J554" t="s">
        <v>225</v>
      </c>
      <c r="K554" t="s">
        <v>225</v>
      </c>
      <c r="O554">
        <v>5</v>
      </c>
      <c r="Q554">
        <v>0</v>
      </c>
      <c r="R554">
        <v>0</v>
      </c>
      <c r="S554">
        <v>0</v>
      </c>
      <c r="T554">
        <v>0</v>
      </c>
      <c r="V554" t="s">
        <v>225</v>
      </c>
    </row>
    <row r="555" spans="1:22">
      <c r="A555" s="81" t="s">
        <v>983</v>
      </c>
      <c r="B555" t="s">
        <v>984</v>
      </c>
      <c r="C555">
        <v>0</v>
      </c>
      <c r="E555" s="82">
        <v>45898</v>
      </c>
      <c r="F555">
        <v>0</v>
      </c>
      <c r="G555" t="s">
        <v>229</v>
      </c>
      <c r="H555">
        <v>0</v>
      </c>
      <c r="J555" t="s">
        <v>225</v>
      </c>
      <c r="K555" t="s">
        <v>225</v>
      </c>
      <c r="O555">
        <v>5</v>
      </c>
      <c r="Q555">
        <v>0</v>
      </c>
      <c r="R555">
        <v>0</v>
      </c>
      <c r="S555">
        <v>0</v>
      </c>
      <c r="T555">
        <v>0</v>
      </c>
      <c r="V555" t="s">
        <v>225</v>
      </c>
    </row>
    <row r="556" spans="1:22">
      <c r="A556" s="81" t="s">
        <v>985</v>
      </c>
      <c r="B556" t="s">
        <v>986</v>
      </c>
      <c r="C556">
        <v>0</v>
      </c>
      <c r="E556" s="82">
        <v>45175</v>
      </c>
      <c r="F556">
        <v>0</v>
      </c>
      <c r="G556" t="s">
        <v>229</v>
      </c>
      <c r="H556">
        <v>0</v>
      </c>
      <c r="J556" t="s">
        <v>225</v>
      </c>
      <c r="K556" t="s">
        <v>225</v>
      </c>
      <c r="O556">
        <v>5</v>
      </c>
      <c r="Q556">
        <v>0</v>
      </c>
      <c r="R556">
        <v>0</v>
      </c>
      <c r="S556">
        <v>0</v>
      </c>
      <c r="T556">
        <v>0</v>
      </c>
      <c r="V556" t="s">
        <v>225</v>
      </c>
    </row>
    <row r="557" spans="1:22">
      <c r="A557" s="81" t="s">
        <v>987</v>
      </c>
      <c r="B557" t="s">
        <v>988</v>
      </c>
      <c r="C557">
        <v>0</v>
      </c>
      <c r="E557" s="82">
        <v>45555</v>
      </c>
      <c r="F557">
        <v>0</v>
      </c>
      <c r="G557" t="s">
        <v>229</v>
      </c>
      <c r="H557">
        <v>0</v>
      </c>
      <c r="J557" t="s">
        <v>225</v>
      </c>
      <c r="K557" t="s">
        <v>225</v>
      </c>
      <c r="O557">
        <v>5</v>
      </c>
      <c r="Q557">
        <v>0</v>
      </c>
      <c r="R557">
        <v>0</v>
      </c>
      <c r="S557">
        <v>0</v>
      </c>
      <c r="T557">
        <v>0</v>
      </c>
      <c r="V557" t="s">
        <v>225</v>
      </c>
    </row>
    <row r="558" spans="1:22">
      <c r="A558" s="81" t="s">
        <v>989</v>
      </c>
      <c r="B558" t="s">
        <v>990</v>
      </c>
      <c r="C558">
        <v>0</v>
      </c>
      <c r="F558">
        <v>0</v>
      </c>
      <c r="G558" t="s">
        <v>229</v>
      </c>
      <c r="H558">
        <v>0</v>
      </c>
      <c r="J558" t="s">
        <v>225</v>
      </c>
      <c r="K558" t="s">
        <v>225</v>
      </c>
      <c r="O558">
        <v>5</v>
      </c>
      <c r="Q558">
        <v>0</v>
      </c>
      <c r="R558">
        <v>0</v>
      </c>
      <c r="S558">
        <v>0</v>
      </c>
      <c r="T558">
        <v>0</v>
      </c>
      <c r="V558" t="s">
        <v>225</v>
      </c>
    </row>
    <row r="559" spans="1:22">
      <c r="A559" s="81" t="s">
        <v>991</v>
      </c>
      <c r="B559" t="s">
        <v>992</v>
      </c>
      <c r="C559">
        <v>0</v>
      </c>
      <c r="E559" s="82">
        <v>45175</v>
      </c>
      <c r="F559">
        <v>0</v>
      </c>
      <c r="G559" t="s">
        <v>229</v>
      </c>
      <c r="H559">
        <v>0</v>
      </c>
      <c r="J559" t="s">
        <v>225</v>
      </c>
      <c r="K559" t="s">
        <v>225</v>
      </c>
      <c r="O559">
        <v>5</v>
      </c>
      <c r="Q559">
        <v>0</v>
      </c>
      <c r="R559">
        <v>0</v>
      </c>
      <c r="S559">
        <v>0</v>
      </c>
      <c r="T559">
        <v>0</v>
      </c>
      <c r="V559" t="s">
        <v>225</v>
      </c>
    </row>
    <row r="560" spans="1:22">
      <c r="A560" s="81" t="s">
        <v>993</v>
      </c>
      <c r="B560" t="s">
        <v>994</v>
      </c>
      <c r="C560">
        <v>0</v>
      </c>
      <c r="E560" s="82">
        <v>45644</v>
      </c>
      <c r="F560">
        <v>0</v>
      </c>
      <c r="G560" t="s">
        <v>229</v>
      </c>
      <c r="H560">
        <v>0</v>
      </c>
      <c r="J560" t="s">
        <v>225</v>
      </c>
      <c r="K560" t="s">
        <v>225</v>
      </c>
      <c r="O560">
        <v>5</v>
      </c>
      <c r="Q560">
        <v>0</v>
      </c>
      <c r="R560">
        <v>0</v>
      </c>
      <c r="S560">
        <v>0</v>
      </c>
      <c r="T560">
        <v>0</v>
      </c>
      <c r="V560" t="s">
        <v>225</v>
      </c>
    </row>
    <row r="561" spans="1:22">
      <c r="A561" s="81" t="s">
        <v>995</v>
      </c>
      <c r="B561" t="s">
        <v>996</v>
      </c>
      <c r="C561">
        <v>0</v>
      </c>
      <c r="E561" s="82">
        <v>45887</v>
      </c>
      <c r="F561">
        <v>0</v>
      </c>
      <c r="G561" t="s">
        <v>229</v>
      </c>
      <c r="H561">
        <v>0</v>
      </c>
      <c r="J561" t="s">
        <v>225</v>
      </c>
      <c r="K561" t="s">
        <v>225</v>
      </c>
      <c r="O561">
        <v>5</v>
      </c>
      <c r="Q561">
        <v>0</v>
      </c>
      <c r="R561">
        <v>0</v>
      </c>
      <c r="S561">
        <v>0</v>
      </c>
      <c r="T561">
        <v>0</v>
      </c>
      <c r="V561" t="s">
        <v>225</v>
      </c>
    </row>
    <row r="562" spans="1:22">
      <c r="A562" s="81" t="s">
        <v>997</v>
      </c>
      <c r="B562" t="s">
        <v>998</v>
      </c>
      <c r="C562">
        <v>0</v>
      </c>
      <c r="E562" s="82">
        <v>45555</v>
      </c>
      <c r="F562">
        <v>0</v>
      </c>
      <c r="G562" t="s">
        <v>229</v>
      </c>
      <c r="H562">
        <v>0</v>
      </c>
      <c r="J562" t="s">
        <v>225</v>
      </c>
      <c r="K562" t="s">
        <v>225</v>
      </c>
      <c r="O562">
        <v>5</v>
      </c>
      <c r="Q562">
        <v>0</v>
      </c>
      <c r="R562">
        <v>0</v>
      </c>
      <c r="S562">
        <v>0</v>
      </c>
      <c r="T562">
        <v>0</v>
      </c>
      <c r="V562" t="s">
        <v>225</v>
      </c>
    </row>
    <row r="563" spans="1:22">
      <c r="A563" s="81" t="s">
        <v>999</v>
      </c>
      <c r="B563" t="s">
        <v>1000</v>
      </c>
      <c r="C563">
        <v>0</v>
      </c>
      <c r="E563" s="82">
        <v>45482</v>
      </c>
      <c r="F563">
        <v>0</v>
      </c>
      <c r="G563" t="s">
        <v>229</v>
      </c>
      <c r="H563">
        <v>0</v>
      </c>
      <c r="J563" t="s">
        <v>225</v>
      </c>
      <c r="K563" t="s">
        <v>225</v>
      </c>
      <c r="O563">
        <v>5</v>
      </c>
      <c r="Q563">
        <v>0</v>
      </c>
      <c r="R563">
        <v>0</v>
      </c>
      <c r="S563">
        <v>0</v>
      </c>
      <c r="T563">
        <v>0</v>
      </c>
      <c r="V563" t="s">
        <v>225</v>
      </c>
    </row>
    <row r="564" spans="1:22">
      <c r="A564" s="81" t="s">
        <v>1001</v>
      </c>
      <c r="B564" t="s">
        <v>1002</v>
      </c>
      <c r="C564">
        <v>0</v>
      </c>
      <c r="F564">
        <v>0</v>
      </c>
      <c r="G564" t="s">
        <v>229</v>
      </c>
      <c r="H564">
        <v>0</v>
      </c>
      <c r="J564" t="s">
        <v>225</v>
      </c>
      <c r="K564" t="s">
        <v>225</v>
      </c>
      <c r="Q564">
        <v>0</v>
      </c>
      <c r="R564">
        <v>0</v>
      </c>
      <c r="S564">
        <v>0</v>
      </c>
      <c r="T564">
        <v>0</v>
      </c>
      <c r="V564" t="s">
        <v>225</v>
      </c>
    </row>
    <row r="565" spans="1:22">
      <c r="A565" s="81" t="s">
        <v>1003</v>
      </c>
      <c r="B565" t="s">
        <v>1004</v>
      </c>
      <c r="C565">
        <v>0</v>
      </c>
      <c r="F565">
        <v>0</v>
      </c>
      <c r="G565" t="s">
        <v>229</v>
      </c>
      <c r="H565">
        <v>0</v>
      </c>
      <c r="J565" t="s">
        <v>225</v>
      </c>
      <c r="K565" t="s">
        <v>225</v>
      </c>
      <c r="Q565">
        <v>0</v>
      </c>
      <c r="R565">
        <v>0</v>
      </c>
      <c r="S565">
        <v>0</v>
      </c>
      <c r="T565">
        <v>0</v>
      </c>
      <c r="V565" t="s">
        <v>225</v>
      </c>
    </row>
    <row r="566" spans="1:22">
      <c r="A566" s="81" t="s">
        <v>1005</v>
      </c>
      <c r="B566" t="s">
        <v>1006</v>
      </c>
      <c r="C566">
        <v>0</v>
      </c>
      <c r="D566" t="s">
        <v>441</v>
      </c>
      <c r="E566" s="82">
        <v>44734</v>
      </c>
      <c r="F566">
        <v>0</v>
      </c>
      <c r="G566" t="s">
        <v>276</v>
      </c>
      <c r="H566">
        <v>0</v>
      </c>
      <c r="J566" t="s">
        <v>225</v>
      </c>
      <c r="K566" t="s">
        <v>225</v>
      </c>
      <c r="Q566">
        <v>0</v>
      </c>
      <c r="R566">
        <v>0</v>
      </c>
      <c r="S566">
        <v>0</v>
      </c>
      <c r="T566">
        <v>0</v>
      </c>
      <c r="V566" t="s">
        <v>225</v>
      </c>
    </row>
    <row r="567" spans="1:22">
      <c r="A567" s="81" t="s">
        <v>1007</v>
      </c>
      <c r="B567" t="s">
        <v>1008</v>
      </c>
      <c r="C567">
        <v>0</v>
      </c>
      <c r="D567" t="s">
        <v>441</v>
      </c>
      <c r="E567" s="82">
        <v>44643</v>
      </c>
      <c r="F567">
        <v>0</v>
      </c>
      <c r="G567" t="s">
        <v>276</v>
      </c>
      <c r="H567">
        <v>0</v>
      </c>
      <c r="J567" t="s">
        <v>225</v>
      </c>
      <c r="K567" t="s">
        <v>225</v>
      </c>
      <c r="Q567">
        <v>0</v>
      </c>
      <c r="R567">
        <v>0</v>
      </c>
      <c r="S567">
        <v>0</v>
      </c>
      <c r="T567">
        <v>0</v>
      </c>
      <c r="V567" t="s">
        <v>225</v>
      </c>
    </row>
    <row r="568" spans="1:22">
      <c r="A568" s="81" t="s">
        <v>1009</v>
      </c>
      <c r="B568" t="s">
        <v>1010</v>
      </c>
      <c r="C568">
        <v>0</v>
      </c>
      <c r="E568" s="82">
        <v>46037</v>
      </c>
      <c r="F568">
        <v>0</v>
      </c>
      <c r="G568" t="s">
        <v>229</v>
      </c>
      <c r="H568">
        <v>0</v>
      </c>
      <c r="J568" t="s">
        <v>225</v>
      </c>
      <c r="K568" t="s">
        <v>225</v>
      </c>
      <c r="O568">
        <v>5</v>
      </c>
      <c r="Q568">
        <v>0</v>
      </c>
      <c r="R568">
        <v>0</v>
      </c>
      <c r="S568">
        <v>0</v>
      </c>
      <c r="T568">
        <v>0</v>
      </c>
      <c r="V568" t="s">
        <v>225</v>
      </c>
    </row>
    <row r="569" spans="1:22">
      <c r="A569" s="81" t="s">
        <v>1011</v>
      </c>
      <c r="B569" t="s">
        <v>1012</v>
      </c>
      <c r="C569">
        <v>0</v>
      </c>
      <c r="E569" s="82">
        <v>45665</v>
      </c>
      <c r="F569">
        <v>0</v>
      </c>
      <c r="G569" t="s">
        <v>229</v>
      </c>
      <c r="H569">
        <v>0</v>
      </c>
      <c r="J569" t="s">
        <v>225</v>
      </c>
      <c r="K569" t="s">
        <v>225</v>
      </c>
      <c r="O569">
        <v>5</v>
      </c>
      <c r="Q569">
        <v>0</v>
      </c>
      <c r="R569">
        <v>0</v>
      </c>
      <c r="S569">
        <v>0</v>
      </c>
      <c r="T569">
        <v>0</v>
      </c>
      <c r="V569" t="s">
        <v>225</v>
      </c>
    </row>
    <row r="570" spans="1:22">
      <c r="A570" s="81" t="s">
        <v>1013</v>
      </c>
      <c r="B570" t="s">
        <v>1014</v>
      </c>
      <c r="C570">
        <v>0</v>
      </c>
      <c r="E570" s="82">
        <v>45663</v>
      </c>
      <c r="F570">
        <v>0</v>
      </c>
      <c r="G570" t="s">
        <v>229</v>
      </c>
      <c r="H570">
        <v>0</v>
      </c>
      <c r="J570" t="s">
        <v>225</v>
      </c>
      <c r="K570" t="s">
        <v>225</v>
      </c>
      <c r="O570">
        <v>5</v>
      </c>
      <c r="Q570">
        <v>0</v>
      </c>
      <c r="R570">
        <v>0</v>
      </c>
      <c r="S570">
        <v>0</v>
      </c>
      <c r="T570">
        <v>0</v>
      </c>
      <c r="V570" t="s">
        <v>225</v>
      </c>
    </row>
    <row r="571" spans="1:22">
      <c r="A571" s="81" t="s">
        <v>1015</v>
      </c>
      <c r="B571" t="s">
        <v>1016</v>
      </c>
      <c r="C571">
        <v>0</v>
      </c>
      <c r="F571">
        <v>0</v>
      </c>
      <c r="G571" t="s">
        <v>229</v>
      </c>
      <c r="H571">
        <v>0</v>
      </c>
      <c r="J571" t="s">
        <v>225</v>
      </c>
      <c r="K571" t="s">
        <v>225</v>
      </c>
      <c r="O571">
        <v>5</v>
      </c>
      <c r="Q571">
        <v>0</v>
      </c>
      <c r="R571">
        <v>0</v>
      </c>
      <c r="S571">
        <v>0</v>
      </c>
      <c r="T571">
        <v>0</v>
      </c>
      <c r="V571" t="s">
        <v>225</v>
      </c>
    </row>
    <row r="572" spans="1:22">
      <c r="A572" s="81" t="s">
        <v>1017</v>
      </c>
      <c r="B572" t="s">
        <v>1018</v>
      </c>
      <c r="C572">
        <v>0</v>
      </c>
      <c r="E572" s="82">
        <v>45313</v>
      </c>
      <c r="F572">
        <v>0</v>
      </c>
      <c r="G572" t="s">
        <v>229</v>
      </c>
      <c r="H572">
        <v>0</v>
      </c>
      <c r="J572" t="s">
        <v>225</v>
      </c>
      <c r="K572" t="s">
        <v>225</v>
      </c>
      <c r="Q572">
        <v>0</v>
      </c>
      <c r="R572">
        <v>0</v>
      </c>
      <c r="S572">
        <v>0</v>
      </c>
      <c r="T572">
        <v>0</v>
      </c>
      <c r="V572" t="s">
        <v>225</v>
      </c>
    </row>
    <row r="573" spans="1:22">
      <c r="A573" s="81" t="s">
        <v>1019</v>
      </c>
      <c r="B573" t="s">
        <v>1020</v>
      </c>
      <c r="C573">
        <v>0</v>
      </c>
      <c r="E573" s="82">
        <v>45226</v>
      </c>
      <c r="F573">
        <v>0</v>
      </c>
      <c r="G573" t="s">
        <v>229</v>
      </c>
      <c r="H573">
        <v>0</v>
      </c>
      <c r="J573" t="s">
        <v>225</v>
      </c>
      <c r="K573" t="s">
        <v>225</v>
      </c>
      <c r="Q573">
        <v>0</v>
      </c>
      <c r="R573">
        <v>0</v>
      </c>
      <c r="S573">
        <v>0</v>
      </c>
      <c r="T573">
        <v>0</v>
      </c>
      <c r="V573" t="s">
        <v>225</v>
      </c>
    </row>
    <row r="574" spans="1:22">
      <c r="A574" s="81" t="s">
        <v>1021</v>
      </c>
      <c r="B574" t="s">
        <v>1022</v>
      </c>
      <c r="C574">
        <v>0</v>
      </c>
      <c r="E574" s="82">
        <v>45337</v>
      </c>
      <c r="F574">
        <v>0</v>
      </c>
      <c r="G574" t="s">
        <v>229</v>
      </c>
      <c r="H574">
        <v>0</v>
      </c>
      <c r="J574" t="s">
        <v>225</v>
      </c>
      <c r="K574" t="s">
        <v>225</v>
      </c>
      <c r="O574">
        <v>5</v>
      </c>
      <c r="Q574">
        <v>0</v>
      </c>
      <c r="R574">
        <v>0</v>
      </c>
      <c r="S574">
        <v>0</v>
      </c>
      <c r="T574">
        <v>0</v>
      </c>
      <c r="V574" t="s">
        <v>225</v>
      </c>
    </row>
    <row r="575" spans="1:22">
      <c r="A575" s="81" t="s">
        <v>1023</v>
      </c>
      <c r="B575" t="s">
        <v>1024</v>
      </c>
      <c r="C575">
        <v>0</v>
      </c>
      <c r="E575" s="82">
        <v>45663</v>
      </c>
      <c r="F575">
        <v>0</v>
      </c>
      <c r="G575" t="s">
        <v>229</v>
      </c>
      <c r="H575">
        <v>0</v>
      </c>
      <c r="J575" t="s">
        <v>225</v>
      </c>
      <c r="K575" t="s">
        <v>225</v>
      </c>
      <c r="O575">
        <v>5</v>
      </c>
      <c r="Q575">
        <v>0</v>
      </c>
      <c r="R575">
        <v>0</v>
      </c>
      <c r="S575">
        <v>0</v>
      </c>
      <c r="T575">
        <v>0</v>
      </c>
      <c r="V575" t="s">
        <v>225</v>
      </c>
    </row>
    <row r="576" spans="1:22">
      <c r="A576" s="81" t="s">
        <v>1025</v>
      </c>
      <c r="B576" t="s">
        <v>1026</v>
      </c>
      <c r="C576">
        <v>0</v>
      </c>
      <c r="E576" s="82">
        <v>45695</v>
      </c>
      <c r="F576">
        <v>0</v>
      </c>
      <c r="G576" t="s">
        <v>229</v>
      </c>
      <c r="H576">
        <v>0</v>
      </c>
      <c r="J576" t="s">
        <v>225</v>
      </c>
      <c r="K576" t="s">
        <v>225</v>
      </c>
      <c r="O576">
        <v>5</v>
      </c>
      <c r="Q576">
        <v>0</v>
      </c>
      <c r="R576">
        <v>0</v>
      </c>
      <c r="S576">
        <v>0</v>
      </c>
      <c r="T576">
        <v>0</v>
      </c>
      <c r="V576" t="s">
        <v>225</v>
      </c>
    </row>
    <row r="577" spans="1:22">
      <c r="A577" s="81" t="s">
        <v>1027</v>
      </c>
      <c r="B577" t="s">
        <v>1028</v>
      </c>
      <c r="C577">
        <v>0</v>
      </c>
      <c r="F577">
        <v>0</v>
      </c>
      <c r="G577" t="s">
        <v>276</v>
      </c>
      <c r="H577">
        <v>0</v>
      </c>
      <c r="J577" t="s">
        <v>225</v>
      </c>
      <c r="K577" t="s">
        <v>225</v>
      </c>
      <c r="Q577">
        <v>0</v>
      </c>
      <c r="R577">
        <v>0</v>
      </c>
      <c r="S577">
        <v>0</v>
      </c>
      <c r="T577">
        <v>0</v>
      </c>
      <c r="V577" t="s">
        <v>225</v>
      </c>
    </row>
    <row r="578" spans="1:22">
      <c r="A578" s="81" t="s">
        <v>1029</v>
      </c>
      <c r="B578" t="s">
        <v>1030</v>
      </c>
      <c r="C578">
        <v>0</v>
      </c>
      <c r="E578" s="82">
        <v>45609</v>
      </c>
      <c r="F578">
        <v>0</v>
      </c>
      <c r="G578" t="s">
        <v>229</v>
      </c>
      <c r="H578">
        <v>0</v>
      </c>
      <c r="J578" t="s">
        <v>225</v>
      </c>
      <c r="K578" t="s">
        <v>225</v>
      </c>
      <c r="O578">
        <v>5</v>
      </c>
      <c r="Q578">
        <v>0</v>
      </c>
      <c r="R578">
        <v>0</v>
      </c>
      <c r="S578">
        <v>0</v>
      </c>
      <c r="T578">
        <v>0</v>
      </c>
      <c r="V578" t="s">
        <v>225</v>
      </c>
    </row>
    <row r="579" spans="1:22">
      <c r="A579" s="81" t="s">
        <v>1031</v>
      </c>
      <c r="B579" t="s">
        <v>1032</v>
      </c>
      <c r="C579">
        <v>0</v>
      </c>
      <c r="F579">
        <v>0</v>
      </c>
      <c r="G579" t="s">
        <v>276</v>
      </c>
      <c r="H579">
        <v>0</v>
      </c>
      <c r="J579" t="s">
        <v>225</v>
      </c>
      <c r="K579" t="s">
        <v>225</v>
      </c>
      <c r="Q579">
        <v>0</v>
      </c>
      <c r="R579">
        <v>0</v>
      </c>
      <c r="S579">
        <v>0</v>
      </c>
      <c r="T579">
        <v>0</v>
      </c>
      <c r="V579" t="s">
        <v>225</v>
      </c>
    </row>
    <row r="580" spans="1:22">
      <c r="A580" s="81" t="s">
        <v>1033</v>
      </c>
      <c r="B580" t="s">
        <v>1034</v>
      </c>
      <c r="C580">
        <v>0</v>
      </c>
      <c r="F580">
        <v>0</v>
      </c>
      <c r="G580" t="s">
        <v>276</v>
      </c>
      <c r="H580">
        <v>0</v>
      </c>
      <c r="J580" t="s">
        <v>225</v>
      </c>
      <c r="K580" t="s">
        <v>225</v>
      </c>
      <c r="Q580">
        <v>0</v>
      </c>
      <c r="R580">
        <v>0</v>
      </c>
      <c r="S580">
        <v>0</v>
      </c>
      <c r="T580">
        <v>0</v>
      </c>
      <c r="V580" t="s">
        <v>225</v>
      </c>
    </row>
    <row r="581" spans="1:22">
      <c r="A581" s="81" t="s">
        <v>1035</v>
      </c>
      <c r="B581" t="s">
        <v>1036</v>
      </c>
      <c r="C581">
        <v>0</v>
      </c>
      <c r="E581" s="82">
        <v>45896</v>
      </c>
      <c r="F581">
        <v>0</v>
      </c>
      <c r="G581" t="s">
        <v>229</v>
      </c>
      <c r="H581">
        <v>0</v>
      </c>
      <c r="J581" t="s">
        <v>225</v>
      </c>
      <c r="K581" t="s">
        <v>225</v>
      </c>
      <c r="O581">
        <v>5</v>
      </c>
      <c r="Q581">
        <v>0</v>
      </c>
      <c r="R581">
        <v>0</v>
      </c>
      <c r="S581">
        <v>0</v>
      </c>
      <c r="T581">
        <v>0</v>
      </c>
      <c r="V581" t="s">
        <v>225</v>
      </c>
    </row>
    <row r="582" spans="1:22">
      <c r="A582" s="81" t="s">
        <v>1037</v>
      </c>
      <c r="B582" t="s">
        <v>1038</v>
      </c>
      <c r="C582">
        <v>0</v>
      </c>
      <c r="E582" s="82">
        <v>45895</v>
      </c>
      <c r="F582">
        <v>0</v>
      </c>
      <c r="G582" t="s">
        <v>229</v>
      </c>
      <c r="H582">
        <v>0</v>
      </c>
      <c r="J582" t="s">
        <v>225</v>
      </c>
      <c r="K582" t="s">
        <v>225</v>
      </c>
      <c r="O582">
        <v>5</v>
      </c>
      <c r="Q582">
        <v>0</v>
      </c>
      <c r="R582">
        <v>0</v>
      </c>
      <c r="S582">
        <v>0</v>
      </c>
      <c r="T582">
        <v>0</v>
      </c>
      <c r="V582" t="s">
        <v>225</v>
      </c>
    </row>
    <row r="583" spans="1:22">
      <c r="A583" s="81" t="s">
        <v>1039</v>
      </c>
      <c r="B583" t="s">
        <v>1040</v>
      </c>
      <c r="C583">
        <v>0</v>
      </c>
      <c r="E583" s="82">
        <v>45539</v>
      </c>
      <c r="F583">
        <v>0</v>
      </c>
      <c r="G583" t="s">
        <v>229</v>
      </c>
      <c r="H583">
        <v>0</v>
      </c>
      <c r="J583" t="s">
        <v>225</v>
      </c>
      <c r="K583" t="s">
        <v>225</v>
      </c>
      <c r="O583">
        <v>5</v>
      </c>
      <c r="Q583">
        <v>0</v>
      </c>
      <c r="R583">
        <v>0</v>
      </c>
      <c r="S583">
        <v>0</v>
      </c>
      <c r="T583">
        <v>0</v>
      </c>
      <c r="V583" t="s">
        <v>225</v>
      </c>
    </row>
    <row r="584" spans="1:22">
      <c r="A584" s="81" t="s">
        <v>1041</v>
      </c>
      <c r="B584" t="s">
        <v>1042</v>
      </c>
      <c r="C584">
        <v>0</v>
      </c>
      <c r="F584">
        <v>0</v>
      </c>
      <c r="G584" t="s">
        <v>229</v>
      </c>
      <c r="H584">
        <v>0</v>
      </c>
      <c r="J584" t="s">
        <v>225</v>
      </c>
      <c r="K584" t="s">
        <v>225</v>
      </c>
      <c r="O584">
        <v>5</v>
      </c>
      <c r="Q584">
        <v>0</v>
      </c>
      <c r="R584">
        <v>0</v>
      </c>
      <c r="S584">
        <v>0</v>
      </c>
      <c r="T584">
        <v>0</v>
      </c>
      <c r="V584" t="s">
        <v>225</v>
      </c>
    </row>
    <row r="585" spans="1:22">
      <c r="A585" s="81" t="s">
        <v>1043</v>
      </c>
      <c r="B585" t="s">
        <v>1044</v>
      </c>
      <c r="C585">
        <v>0</v>
      </c>
      <c r="E585" s="82">
        <v>45708</v>
      </c>
      <c r="F585">
        <v>0</v>
      </c>
      <c r="G585" t="s">
        <v>229</v>
      </c>
      <c r="H585">
        <v>0</v>
      </c>
      <c r="J585" t="s">
        <v>225</v>
      </c>
      <c r="K585" t="s">
        <v>225</v>
      </c>
      <c r="O585">
        <v>5</v>
      </c>
      <c r="Q585">
        <v>0</v>
      </c>
      <c r="R585">
        <v>0</v>
      </c>
      <c r="S585">
        <v>0</v>
      </c>
      <c r="T585">
        <v>0</v>
      </c>
      <c r="V585" t="s">
        <v>225</v>
      </c>
    </row>
    <row r="586" spans="1:22">
      <c r="A586" s="81" t="s">
        <v>1045</v>
      </c>
      <c r="B586" t="s">
        <v>1046</v>
      </c>
      <c r="C586">
        <v>0</v>
      </c>
      <c r="E586" s="82">
        <v>45695</v>
      </c>
      <c r="F586">
        <v>0</v>
      </c>
      <c r="G586" t="s">
        <v>229</v>
      </c>
      <c r="H586">
        <v>0</v>
      </c>
      <c r="J586" t="s">
        <v>225</v>
      </c>
      <c r="K586" t="s">
        <v>225</v>
      </c>
      <c r="O586">
        <v>5</v>
      </c>
      <c r="Q586">
        <v>0</v>
      </c>
      <c r="R586">
        <v>0</v>
      </c>
      <c r="S586">
        <v>0</v>
      </c>
      <c r="T586">
        <v>0</v>
      </c>
      <c r="V586" t="s">
        <v>225</v>
      </c>
    </row>
    <row r="587" spans="1:22">
      <c r="A587" s="81" t="s">
        <v>1047</v>
      </c>
      <c r="B587" t="s">
        <v>1048</v>
      </c>
      <c r="C587">
        <v>0</v>
      </c>
      <c r="E587" s="82">
        <v>45919</v>
      </c>
      <c r="F587">
        <v>0</v>
      </c>
      <c r="G587" t="s">
        <v>229</v>
      </c>
      <c r="H587">
        <v>0</v>
      </c>
      <c r="J587" t="s">
        <v>225</v>
      </c>
      <c r="K587" t="s">
        <v>225</v>
      </c>
      <c r="O587">
        <v>5</v>
      </c>
      <c r="Q587">
        <v>0</v>
      </c>
      <c r="R587">
        <v>0</v>
      </c>
      <c r="S587">
        <v>0</v>
      </c>
      <c r="T587">
        <v>0</v>
      </c>
      <c r="V587" t="s">
        <v>225</v>
      </c>
    </row>
    <row r="588" spans="1:22">
      <c r="A588" s="81" t="s">
        <v>1049</v>
      </c>
      <c r="B588" t="s">
        <v>1050</v>
      </c>
      <c r="C588">
        <v>0</v>
      </c>
      <c r="E588" s="82">
        <v>45604</v>
      </c>
      <c r="F588">
        <v>0</v>
      </c>
      <c r="G588" t="s">
        <v>229</v>
      </c>
      <c r="H588">
        <v>0</v>
      </c>
      <c r="J588" t="s">
        <v>225</v>
      </c>
      <c r="K588" t="s">
        <v>225</v>
      </c>
      <c r="O588">
        <v>5</v>
      </c>
      <c r="Q588">
        <v>0</v>
      </c>
      <c r="R588">
        <v>0</v>
      </c>
      <c r="S588">
        <v>0</v>
      </c>
      <c r="T588">
        <v>0</v>
      </c>
      <c r="V588" t="s">
        <v>225</v>
      </c>
    </row>
    <row r="589" spans="1:22">
      <c r="A589" s="81" t="s">
        <v>1051</v>
      </c>
      <c r="B589" t="s">
        <v>1052</v>
      </c>
      <c r="C589">
        <v>0</v>
      </c>
      <c r="E589" s="82">
        <v>45604</v>
      </c>
      <c r="F589">
        <v>0</v>
      </c>
      <c r="G589" t="s">
        <v>229</v>
      </c>
      <c r="H589">
        <v>0</v>
      </c>
      <c r="J589" t="s">
        <v>225</v>
      </c>
      <c r="K589" t="s">
        <v>225</v>
      </c>
      <c r="O589">
        <v>5</v>
      </c>
      <c r="Q589">
        <v>0</v>
      </c>
      <c r="R589">
        <v>0</v>
      </c>
      <c r="S589">
        <v>0</v>
      </c>
      <c r="T589">
        <v>0</v>
      </c>
      <c r="V589" t="s">
        <v>225</v>
      </c>
    </row>
    <row r="590" spans="1:22">
      <c r="A590" s="81" t="s">
        <v>1053</v>
      </c>
      <c r="B590" t="s">
        <v>1054</v>
      </c>
      <c r="C590">
        <v>0</v>
      </c>
      <c r="E590" s="82">
        <v>45630</v>
      </c>
      <c r="F590">
        <v>0</v>
      </c>
      <c r="G590" t="s">
        <v>229</v>
      </c>
      <c r="H590">
        <v>0</v>
      </c>
      <c r="J590" t="s">
        <v>225</v>
      </c>
      <c r="K590" t="s">
        <v>225</v>
      </c>
      <c r="O590">
        <v>5</v>
      </c>
      <c r="Q590">
        <v>0</v>
      </c>
      <c r="R590">
        <v>0</v>
      </c>
      <c r="S590">
        <v>0</v>
      </c>
      <c r="T590">
        <v>0</v>
      </c>
      <c r="V590" t="s">
        <v>225</v>
      </c>
    </row>
    <row r="591" spans="1:22">
      <c r="A591" s="81" t="s">
        <v>1055</v>
      </c>
      <c r="B591" t="s">
        <v>1056</v>
      </c>
      <c r="C591">
        <v>0</v>
      </c>
      <c r="F591">
        <v>0</v>
      </c>
      <c r="G591" t="s">
        <v>229</v>
      </c>
      <c r="H591">
        <v>0</v>
      </c>
      <c r="J591" t="s">
        <v>225</v>
      </c>
      <c r="K591" t="s">
        <v>225</v>
      </c>
      <c r="Q591">
        <v>0</v>
      </c>
      <c r="R591">
        <v>0</v>
      </c>
      <c r="S591">
        <v>0</v>
      </c>
      <c r="T591">
        <v>0</v>
      </c>
      <c r="V591" t="s">
        <v>225</v>
      </c>
    </row>
    <row r="592" spans="1:22">
      <c r="A592" s="81" t="s">
        <v>1057</v>
      </c>
      <c r="B592" t="s">
        <v>1058</v>
      </c>
      <c r="C592">
        <v>0</v>
      </c>
      <c r="F592">
        <v>0</v>
      </c>
      <c r="G592" t="s">
        <v>229</v>
      </c>
      <c r="H592">
        <v>0</v>
      </c>
      <c r="J592" t="s">
        <v>226</v>
      </c>
      <c r="K592" t="s">
        <v>225</v>
      </c>
      <c r="Q592">
        <v>0</v>
      </c>
      <c r="R592">
        <v>0</v>
      </c>
      <c r="S592">
        <v>0</v>
      </c>
      <c r="T592">
        <v>0</v>
      </c>
      <c r="V592" t="s">
        <v>225</v>
      </c>
    </row>
    <row r="593" spans="1:22">
      <c r="A593" s="81" t="s">
        <v>1059</v>
      </c>
      <c r="B593" t="s">
        <v>1060</v>
      </c>
      <c r="C593">
        <v>0</v>
      </c>
      <c r="F593">
        <v>0</v>
      </c>
      <c r="G593" t="s">
        <v>229</v>
      </c>
      <c r="H593">
        <v>0</v>
      </c>
      <c r="J593" t="s">
        <v>225</v>
      </c>
      <c r="K593" t="s">
        <v>225</v>
      </c>
      <c r="Q593">
        <v>0</v>
      </c>
      <c r="R593">
        <v>0</v>
      </c>
      <c r="S593">
        <v>0</v>
      </c>
      <c r="T593">
        <v>0</v>
      </c>
      <c r="V593" t="s">
        <v>225</v>
      </c>
    </row>
    <row r="594" spans="1:22">
      <c r="A594" s="81" t="s">
        <v>1061</v>
      </c>
      <c r="B594" t="s">
        <v>1062</v>
      </c>
      <c r="C594">
        <v>0</v>
      </c>
      <c r="F594">
        <v>0</v>
      </c>
      <c r="G594" t="s">
        <v>229</v>
      </c>
      <c r="H594">
        <v>0</v>
      </c>
      <c r="J594" t="s">
        <v>225</v>
      </c>
      <c r="K594" t="s">
        <v>225</v>
      </c>
      <c r="Q594">
        <v>0</v>
      </c>
      <c r="R594">
        <v>0</v>
      </c>
      <c r="S594">
        <v>0</v>
      </c>
      <c r="T594">
        <v>0</v>
      </c>
      <c r="V594" t="s">
        <v>225</v>
      </c>
    </row>
    <row r="595" spans="1:22">
      <c r="A595" s="81" t="s">
        <v>1063</v>
      </c>
      <c r="B595" t="s">
        <v>1064</v>
      </c>
      <c r="C595">
        <v>0</v>
      </c>
      <c r="F595">
        <v>0</v>
      </c>
      <c r="G595" t="s">
        <v>229</v>
      </c>
      <c r="H595">
        <v>0</v>
      </c>
      <c r="J595" t="s">
        <v>225</v>
      </c>
      <c r="K595" t="s">
        <v>225</v>
      </c>
      <c r="Q595">
        <v>0</v>
      </c>
      <c r="R595">
        <v>0</v>
      </c>
      <c r="S595">
        <v>0</v>
      </c>
      <c r="T595">
        <v>0</v>
      </c>
      <c r="V595" t="s">
        <v>225</v>
      </c>
    </row>
    <row r="596" spans="1:22">
      <c r="A596" s="81" t="s">
        <v>1065</v>
      </c>
      <c r="B596" t="s">
        <v>1066</v>
      </c>
      <c r="C596">
        <v>0</v>
      </c>
      <c r="F596">
        <v>0</v>
      </c>
      <c r="G596" t="s">
        <v>229</v>
      </c>
      <c r="H596">
        <v>0</v>
      </c>
      <c r="J596" t="s">
        <v>225</v>
      </c>
      <c r="K596" t="s">
        <v>225</v>
      </c>
      <c r="Q596">
        <v>0</v>
      </c>
      <c r="R596">
        <v>0</v>
      </c>
      <c r="S596">
        <v>0</v>
      </c>
      <c r="T596">
        <v>0</v>
      </c>
      <c r="V596" t="s">
        <v>225</v>
      </c>
    </row>
    <row r="597" spans="1:22">
      <c r="A597" s="81" t="s">
        <v>1067</v>
      </c>
      <c r="B597" t="s">
        <v>1068</v>
      </c>
      <c r="C597">
        <v>0</v>
      </c>
      <c r="F597">
        <v>0</v>
      </c>
      <c r="G597" t="s">
        <v>229</v>
      </c>
      <c r="H597">
        <v>0</v>
      </c>
      <c r="J597" t="s">
        <v>225</v>
      </c>
      <c r="K597" t="s">
        <v>225</v>
      </c>
      <c r="Q597">
        <v>0</v>
      </c>
      <c r="R597">
        <v>0</v>
      </c>
      <c r="S597">
        <v>0</v>
      </c>
      <c r="T597">
        <v>0</v>
      </c>
      <c r="V597" t="s">
        <v>225</v>
      </c>
    </row>
    <row r="598" spans="1:22">
      <c r="A598" s="81" t="s">
        <v>1069</v>
      </c>
      <c r="B598" t="s">
        <v>1070</v>
      </c>
      <c r="C598">
        <v>0</v>
      </c>
      <c r="F598">
        <v>0</v>
      </c>
      <c r="G598" t="s">
        <v>229</v>
      </c>
      <c r="H598">
        <v>0</v>
      </c>
      <c r="J598" t="s">
        <v>225</v>
      </c>
      <c r="K598" t="s">
        <v>225</v>
      </c>
      <c r="Q598">
        <v>0</v>
      </c>
      <c r="R598">
        <v>0</v>
      </c>
      <c r="S598">
        <v>0</v>
      </c>
      <c r="T598">
        <v>0</v>
      </c>
      <c r="V598" t="s">
        <v>225</v>
      </c>
    </row>
    <row r="599" spans="1:22">
      <c r="A599" s="81" t="s">
        <v>1071</v>
      </c>
      <c r="B599" t="s">
        <v>1072</v>
      </c>
      <c r="C599">
        <v>0</v>
      </c>
      <c r="F599">
        <v>0</v>
      </c>
      <c r="G599" t="s">
        <v>229</v>
      </c>
      <c r="H599">
        <v>0</v>
      </c>
      <c r="J599" t="s">
        <v>225</v>
      </c>
      <c r="K599" t="s">
        <v>225</v>
      </c>
      <c r="Q599">
        <v>0</v>
      </c>
      <c r="R599">
        <v>0</v>
      </c>
      <c r="S599">
        <v>0</v>
      </c>
      <c r="T599">
        <v>0</v>
      </c>
      <c r="V599" t="s">
        <v>225</v>
      </c>
    </row>
    <row r="600" spans="1:22">
      <c r="A600" s="81" t="s">
        <v>1073</v>
      </c>
      <c r="B600" t="s">
        <v>1074</v>
      </c>
      <c r="C600">
        <v>0</v>
      </c>
      <c r="F600">
        <v>0</v>
      </c>
      <c r="G600" t="s">
        <v>229</v>
      </c>
      <c r="H600">
        <v>0</v>
      </c>
      <c r="J600" t="s">
        <v>225</v>
      </c>
      <c r="K600" t="s">
        <v>225</v>
      </c>
      <c r="Q600">
        <v>0</v>
      </c>
      <c r="R600">
        <v>0</v>
      </c>
      <c r="S600">
        <v>0</v>
      </c>
      <c r="T600">
        <v>0</v>
      </c>
      <c r="V600" t="s">
        <v>225</v>
      </c>
    </row>
    <row r="601" spans="1:22">
      <c r="A601" s="81" t="s">
        <v>1075</v>
      </c>
      <c r="B601" t="s">
        <v>1076</v>
      </c>
      <c r="C601">
        <v>0</v>
      </c>
      <c r="F601">
        <v>0</v>
      </c>
      <c r="G601" t="s">
        <v>229</v>
      </c>
      <c r="H601">
        <v>0</v>
      </c>
      <c r="J601" t="s">
        <v>225</v>
      </c>
      <c r="K601" t="s">
        <v>225</v>
      </c>
      <c r="Q601">
        <v>0</v>
      </c>
      <c r="R601">
        <v>0</v>
      </c>
      <c r="S601">
        <v>0</v>
      </c>
      <c r="T601">
        <v>0</v>
      </c>
      <c r="V601" t="s">
        <v>225</v>
      </c>
    </row>
    <row r="602" spans="1:22">
      <c r="A602" s="81" t="s">
        <v>1077</v>
      </c>
      <c r="B602" t="s">
        <v>1078</v>
      </c>
      <c r="C602">
        <v>0</v>
      </c>
      <c r="F602">
        <v>0</v>
      </c>
      <c r="G602" t="s">
        <v>229</v>
      </c>
      <c r="H602">
        <v>0</v>
      </c>
      <c r="J602" t="s">
        <v>225</v>
      </c>
      <c r="K602" t="s">
        <v>225</v>
      </c>
      <c r="Q602">
        <v>0</v>
      </c>
      <c r="R602">
        <v>0</v>
      </c>
      <c r="S602">
        <v>0</v>
      </c>
      <c r="T602">
        <v>0</v>
      </c>
      <c r="V602" t="s">
        <v>225</v>
      </c>
    </row>
    <row r="603" spans="1:22">
      <c r="A603" s="81" t="s">
        <v>1079</v>
      </c>
      <c r="B603" t="s">
        <v>1080</v>
      </c>
      <c r="C603">
        <v>0</v>
      </c>
      <c r="F603">
        <v>0</v>
      </c>
      <c r="G603" t="s">
        <v>229</v>
      </c>
      <c r="H603">
        <v>0</v>
      </c>
      <c r="J603" t="s">
        <v>225</v>
      </c>
      <c r="K603" t="s">
        <v>225</v>
      </c>
      <c r="Q603">
        <v>0</v>
      </c>
      <c r="R603">
        <v>0</v>
      </c>
      <c r="S603">
        <v>0</v>
      </c>
      <c r="T603">
        <v>0</v>
      </c>
      <c r="V603" t="s">
        <v>225</v>
      </c>
    </row>
    <row r="604" spans="1:22">
      <c r="A604" s="81" t="s">
        <v>1081</v>
      </c>
      <c r="B604" t="s">
        <v>1082</v>
      </c>
      <c r="C604">
        <v>0</v>
      </c>
      <c r="D604" t="s">
        <v>393</v>
      </c>
      <c r="F604">
        <v>0</v>
      </c>
      <c r="G604" t="s">
        <v>229</v>
      </c>
      <c r="H604">
        <v>0</v>
      </c>
      <c r="J604" t="s">
        <v>225</v>
      </c>
      <c r="K604" t="s">
        <v>225</v>
      </c>
      <c r="O604">
        <v>5</v>
      </c>
      <c r="Q604">
        <v>0</v>
      </c>
      <c r="R604">
        <v>0</v>
      </c>
      <c r="S604">
        <v>0</v>
      </c>
      <c r="T604">
        <v>0</v>
      </c>
      <c r="V604" t="s">
        <v>225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00000"/>
  </sheetPr>
  <dimension ref="A1:F2"/>
  <sheetViews>
    <sheetView workbookViewId="0">
      <selection sqref="A1:XFD1048576"/>
    </sheetView>
  </sheetViews>
  <sheetFormatPr defaultRowHeight="15"/>
  <cols>
    <col min="1" max="1" width="42.140625" bestFit="1" customWidth="1"/>
    <col min="2" max="2" width="57.5703125" bestFit="1" customWidth="1"/>
  </cols>
  <sheetData>
    <row r="1" spans="1:6">
      <c r="A1" t="s">
        <v>1083</v>
      </c>
      <c r="B1" t="s">
        <v>1084</v>
      </c>
      <c r="C1" t="s">
        <v>1085</v>
      </c>
      <c r="D1" t="s">
        <v>1086</v>
      </c>
      <c r="E1" t="s">
        <v>1087</v>
      </c>
      <c r="F1" t="s">
        <v>1088</v>
      </c>
    </row>
    <row r="2" spans="1:6">
      <c r="A2" t="s">
        <v>13</v>
      </c>
      <c r="B2" t="s">
        <v>75</v>
      </c>
      <c r="C2" t="s">
        <v>76</v>
      </c>
      <c r="D2" t="s">
        <v>1089</v>
      </c>
      <c r="E2">
        <v>315201</v>
      </c>
      <c r="F2" t="s">
        <v>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00000"/>
  </sheetPr>
  <dimension ref="A1:D4"/>
  <sheetViews>
    <sheetView workbookViewId="0">
      <selection activeCell="H9" sqref="H9"/>
    </sheetView>
  </sheetViews>
  <sheetFormatPr defaultRowHeight="15"/>
  <cols>
    <col min="1" max="1" width="19.42578125" bestFit="1" customWidth="1"/>
    <col min="2" max="2" width="27" bestFit="1" customWidth="1"/>
  </cols>
  <sheetData>
    <row r="1" spans="1:4">
      <c r="A1" t="s">
        <v>224</v>
      </c>
      <c r="B1" t="s">
        <v>1084</v>
      </c>
      <c r="C1" t="s">
        <v>1090</v>
      </c>
      <c r="D1" t="s">
        <v>1088</v>
      </c>
    </row>
    <row r="2" spans="1:4">
      <c r="A2" t="s">
        <v>63</v>
      </c>
      <c r="B2" t="s">
        <v>1091</v>
      </c>
      <c r="C2" s="14" t="s">
        <v>68</v>
      </c>
      <c r="D2" s="102" t="s">
        <v>71</v>
      </c>
    </row>
    <row r="3" spans="1:4">
      <c r="A3" t="s">
        <v>227</v>
      </c>
      <c r="B3" t="s">
        <v>1091</v>
      </c>
      <c r="C3" s="14" t="s">
        <v>68</v>
      </c>
      <c r="D3" s="102" t="s">
        <v>71</v>
      </c>
    </row>
    <row r="4" spans="1:4">
      <c r="A4" t="s">
        <v>7</v>
      </c>
      <c r="B4" t="s">
        <v>1091</v>
      </c>
      <c r="C4" s="14" t="s">
        <v>68</v>
      </c>
      <c r="D4" s="102" t="s">
        <v>71</v>
      </c>
    </row>
  </sheetData>
  <hyperlinks>
    <hyperlink ref="D2" r:id="rId1" xr:uid="{00000000-0004-0000-0600-000000000000}"/>
    <hyperlink ref="D3" r:id="rId2" xr:uid="{E6B68EDB-9A66-450F-A85F-8758C211C319}"/>
    <hyperlink ref="D4" r:id="rId3" xr:uid="{856C2052-3414-4173-AFF3-6FD54BBDDE4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1B576-27EB-4020-955A-26496CDC334C}">
  <sheetPr codeName="Sheet8">
    <tabColor rgb="FFC0C0C0"/>
    <pageSetUpPr fitToPage="1"/>
  </sheetPr>
  <dimension ref="B1:Q68"/>
  <sheetViews>
    <sheetView showGridLines="0" zoomScaleNormal="100" workbookViewId="0">
      <selection activeCell="B5" sqref="B5:B8"/>
    </sheetView>
  </sheetViews>
  <sheetFormatPr defaultRowHeight="15"/>
  <cols>
    <col min="1" max="1" width="0.7109375" customWidth="1"/>
    <col min="2" max="2" width="9.5703125" customWidth="1"/>
    <col min="3" max="3" width="5.28515625" customWidth="1"/>
    <col min="4" max="5" width="12.140625" customWidth="1"/>
    <col min="6" max="6" width="11.42578125" customWidth="1"/>
    <col min="7" max="10" width="2.7109375" customWidth="1"/>
    <col min="11" max="11" width="9.5703125" customWidth="1"/>
    <col min="12" max="12" width="11.42578125" customWidth="1"/>
    <col min="13" max="13" width="12.5703125" customWidth="1"/>
    <col min="14" max="14" width="15.5703125" customWidth="1"/>
    <col min="15" max="15" width="12.5703125" customWidth="1"/>
    <col min="16" max="16" width="8.7109375" customWidth="1"/>
    <col min="17" max="17" width="12.5703125" customWidth="1"/>
  </cols>
  <sheetData>
    <row r="1" spans="2:17" ht="8.1" customHeight="1"/>
    <row r="2" spans="2:17" ht="8.1" customHeight="1"/>
    <row r="3" spans="2:17" ht="8.1" customHeight="1"/>
    <row r="4" spans="2:17" ht="27.95" customHeight="1" thickBot="1">
      <c r="B4" s="255" t="s">
        <v>61</v>
      </c>
      <c r="C4" s="253"/>
      <c r="D4" s="253"/>
      <c r="E4" s="253"/>
      <c r="F4" s="253"/>
      <c r="G4" s="19"/>
      <c r="H4" s="25"/>
      <c r="I4" s="26"/>
      <c r="J4" s="26"/>
      <c r="K4" s="26"/>
      <c r="L4" s="26"/>
      <c r="M4" s="26"/>
      <c r="O4" s="153" t="s">
        <v>62</v>
      </c>
      <c r="P4" s="27"/>
      <c r="Q4" s="28"/>
    </row>
    <row r="5" spans="2:17" ht="21.95" customHeight="1">
      <c r="B5" s="63" t="s">
        <v>7</v>
      </c>
      <c r="C5" s="241"/>
      <c r="D5" s="64"/>
      <c r="E5" s="15"/>
      <c r="F5" s="15"/>
      <c r="G5" s="30"/>
      <c r="H5" s="31"/>
      <c r="I5" s="15"/>
      <c r="J5" s="15"/>
      <c r="K5" s="15"/>
      <c r="L5" s="15"/>
      <c r="M5" s="15"/>
      <c r="N5" s="15"/>
      <c r="O5" s="15"/>
      <c r="P5" s="15"/>
      <c r="Q5" s="2"/>
    </row>
    <row r="6" spans="2:17" ht="18" customHeight="1">
      <c r="B6" s="154" t="s">
        <v>1094</v>
      </c>
      <c r="C6" s="21"/>
      <c r="D6" s="32"/>
      <c r="E6" s="21"/>
      <c r="F6" s="21"/>
      <c r="G6" s="30"/>
      <c r="H6" s="31"/>
      <c r="I6" s="15"/>
      <c r="J6" s="15"/>
      <c r="K6" s="15"/>
      <c r="L6" s="15"/>
      <c r="M6" s="15"/>
      <c r="N6" s="183" t="s">
        <v>65</v>
      </c>
      <c r="O6" s="183" t="s">
        <v>66</v>
      </c>
      <c r="P6" s="21"/>
      <c r="Q6" s="32"/>
    </row>
    <row r="7" spans="2:17" ht="18" customHeight="1">
      <c r="B7" s="154"/>
      <c r="C7" s="21"/>
      <c r="D7" s="32"/>
      <c r="E7" s="21"/>
      <c r="F7" s="21"/>
      <c r="G7" s="33"/>
      <c r="H7" s="15"/>
      <c r="I7" s="15"/>
      <c r="J7" s="15"/>
      <c r="K7" s="15"/>
      <c r="L7" s="15"/>
      <c r="M7" s="15"/>
      <c r="N7" s="184" t="s">
        <v>4</v>
      </c>
      <c r="O7" s="185">
        <v>46113</v>
      </c>
      <c r="P7" s="16"/>
      <c r="Q7" s="32"/>
    </row>
    <row r="8" spans="2:17" ht="18" customHeight="1" thickBot="1">
      <c r="B8" s="155" t="s">
        <v>1092</v>
      </c>
      <c r="C8" s="65"/>
      <c r="D8" s="66"/>
      <c r="E8" s="33"/>
      <c r="F8" s="33"/>
      <c r="G8" s="33"/>
      <c r="H8" s="15"/>
      <c r="I8" s="15"/>
      <c r="J8" s="15"/>
      <c r="K8" s="15"/>
      <c r="L8" s="15"/>
      <c r="M8" s="15"/>
      <c r="N8" s="183"/>
      <c r="O8" s="186"/>
      <c r="P8" s="16"/>
      <c r="Q8" s="32"/>
    </row>
    <row r="9" spans="2:17" ht="18" customHeight="1" thickBot="1">
      <c r="B9" s="291"/>
      <c r="C9" s="265"/>
      <c r="D9" s="265"/>
      <c r="E9" s="265"/>
      <c r="F9" s="265"/>
      <c r="G9" s="15"/>
      <c r="H9" s="15"/>
      <c r="I9" s="15"/>
      <c r="J9" s="15"/>
      <c r="K9" s="15"/>
      <c r="L9" s="15"/>
      <c r="M9" s="15"/>
      <c r="N9" s="184" t="s">
        <v>69</v>
      </c>
      <c r="O9" s="184">
        <v>3147</v>
      </c>
      <c r="P9" s="16"/>
      <c r="Q9" s="32"/>
    </row>
    <row r="10" spans="2:17" ht="18" customHeight="1" thickBot="1">
      <c r="B10" s="242" t="s">
        <v>70</v>
      </c>
      <c r="C10" s="243" t="s">
        <v>1093</v>
      </c>
      <c r="D10" s="67"/>
      <c r="E10" s="15"/>
      <c r="F10" s="15"/>
      <c r="G10" s="15"/>
      <c r="H10" s="15"/>
      <c r="I10" s="15"/>
      <c r="J10" s="15"/>
      <c r="K10" s="15"/>
      <c r="L10" s="15"/>
      <c r="M10" s="15"/>
      <c r="N10" s="184" t="s">
        <v>72</v>
      </c>
      <c r="O10" s="184"/>
      <c r="P10" s="16"/>
      <c r="Q10" s="32"/>
    </row>
    <row r="11" spans="2:17" ht="3.95" customHeight="1">
      <c r="B11" s="244"/>
      <c r="C11" s="34"/>
      <c r="D11" s="35"/>
      <c r="E11" s="34"/>
      <c r="F11" s="34"/>
      <c r="G11" s="34"/>
      <c r="H11" s="15"/>
      <c r="I11" s="15"/>
      <c r="J11" s="15"/>
      <c r="K11" s="15"/>
      <c r="L11" s="15"/>
      <c r="M11" s="15"/>
      <c r="N11" s="187"/>
      <c r="O11" s="188"/>
      <c r="P11" s="21"/>
      <c r="Q11" s="32"/>
    </row>
    <row r="12" spans="2:17" ht="21.95" customHeight="1">
      <c r="B12" s="255" t="s">
        <v>73</v>
      </c>
      <c r="C12" s="253"/>
      <c r="D12" s="253"/>
      <c r="E12" s="253"/>
      <c r="F12" s="253"/>
      <c r="G12" s="36"/>
      <c r="H12" s="15"/>
      <c r="I12" s="15"/>
      <c r="J12" s="15"/>
      <c r="K12" s="15"/>
      <c r="L12" s="75" t="s">
        <v>74</v>
      </c>
      <c r="M12" s="75"/>
      <c r="N12" s="61"/>
      <c r="O12" s="61"/>
      <c r="P12" s="61"/>
      <c r="Q12" s="62"/>
    </row>
    <row r="13" spans="2:17" ht="21.95" customHeight="1">
      <c r="B13" s="1" t="s">
        <v>13</v>
      </c>
      <c r="C13" s="19"/>
      <c r="D13" s="37"/>
      <c r="E13" s="19"/>
      <c r="F13" s="21"/>
      <c r="G13" s="15"/>
      <c r="H13" s="15"/>
      <c r="I13" s="15"/>
      <c r="J13" s="15"/>
      <c r="K13" s="15"/>
      <c r="L13" s="215"/>
      <c r="M13" s="215"/>
      <c r="N13" s="216"/>
      <c r="O13" s="216"/>
      <c r="P13" s="216"/>
      <c r="Q13" s="217"/>
    </row>
    <row r="14" spans="2:17" ht="18" customHeight="1">
      <c r="B14" s="156" t="s">
        <v>75</v>
      </c>
      <c r="C14" s="38"/>
      <c r="D14" s="39"/>
      <c r="E14" s="40"/>
      <c r="F14" s="30"/>
      <c r="G14" s="15"/>
      <c r="H14" s="15"/>
      <c r="I14" s="15"/>
      <c r="J14" s="15"/>
      <c r="K14" s="15"/>
      <c r="L14" s="215"/>
      <c r="M14" s="215"/>
      <c r="N14" s="218"/>
      <c r="O14" s="218"/>
      <c r="P14" s="218"/>
      <c r="Q14" s="219"/>
    </row>
    <row r="15" spans="2:17" ht="18" customHeight="1">
      <c r="B15" s="157" t="s">
        <v>76</v>
      </c>
      <c r="C15" s="41"/>
      <c r="D15" s="39"/>
      <c r="E15" s="40"/>
      <c r="F15" s="30"/>
      <c r="G15" s="15"/>
      <c r="H15" s="15"/>
      <c r="I15" s="15"/>
      <c r="J15" s="15"/>
      <c r="K15" s="15"/>
      <c r="L15" s="215"/>
      <c r="M15" s="215"/>
      <c r="N15" s="218"/>
      <c r="O15" s="218"/>
      <c r="P15" s="218"/>
      <c r="Q15" s="219"/>
    </row>
    <row r="16" spans="2:17" ht="18" customHeight="1">
      <c r="B16" s="158" t="s">
        <v>1100</v>
      </c>
      <c r="C16" s="42"/>
      <c r="D16" s="42"/>
      <c r="E16" s="42"/>
      <c r="F16" s="33"/>
      <c r="G16" s="15"/>
      <c r="H16" s="15"/>
      <c r="I16" s="15"/>
      <c r="J16" s="15"/>
      <c r="K16" s="15"/>
      <c r="L16" s="215"/>
      <c r="M16" s="215"/>
      <c r="N16" s="215"/>
      <c r="O16" s="215"/>
      <c r="P16" s="215"/>
      <c r="Q16" s="220"/>
    </row>
    <row r="17" spans="2:17" ht="18" customHeight="1">
      <c r="B17" s="156">
        <v>315201</v>
      </c>
      <c r="C17" s="42"/>
      <c r="D17" s="42"/>
      <c r="E17" s="42"/>
      <c r="F17" s="33"/>
      <c r="G17" s="15"/>
      <c r="H17" s="15"/>
      <c r="I17" s="15"/>
      <c r="J17" s="15"/>
      <c r="K17" s="15"/>
      <c r="L17" s="215"/>
      <c r="M17" s="215"/>
      <c r="N17" s="221"/>
      <c r="O17" s="222"/>
      <c r="P17" s="222"/>
      <c r="Q17" s="223"/>
    </row>
    <row r="18" spans="2:17" ht="18" customHeight="1">
      <c r="B18" s="159" t="s">
        <v>70</v>
      </c>
      <c r="C18" s="160" t="s">
        <v>78</v>
      </c>
      <c r="D18" s="19"/>
      <c r="E18" s="19"/>
      <c r="F18" s="21"/>
      <c r="G18" s="44"/>
      <c r="H18" s="15"/>
      <c r="I18" s="15"/>
      <c r="J18" s="15"/>
      <c r="K18" s="15"/>
      <c r="L18" s="215"/>
      <c r="M18" s="215"/>
      <c r="N18" s="222"/>
      <c r="O18" s="222"/>
      <c r="P18" s="222"/>
      <c r="Q18" s="223"/>
    </row>
    <row r="19" spans="2:17" ht="21.95" customHeight="1">
      <c r="B19" s="262" t="s">
        <v>79</v>
      </c>
      <c r="C19" s="253"/>
      <c r="D19" s="253"/>
      <c r="E19" s="253"/>
      <c r="F19" s="253"/>
      <c r="G19" s="253"/>
      <c r="H19" s="253"/>
      <c r="I19" s="253"/>
      <c r="J19" s="253"/>
      <c r="K19" s="253"/>
      <c r="L19" s="253"/>
      <c r="M19" s="253"/>
      <c r="N19" s="253"/>
      <c r="O19" s="253"/>
      <c r="P19" s="253"/>
      <c r="Q19" s="263"/>
    </row>
    <row r="20" spans="2:17" ht="6" customHeight="1" thickBot="1">
      <c r="B20" s="17"/>
      <c r="C20" s="45"/>
      <c r="D20" s="46"/>
      <c r="E20" s="45"/>
      <c r="F20" s="45"/>
      <c r="G20" s="45"/>
      <c r="H20" s="45"/>
      <c r="I20" s="45"/>
      <c r="J20" s="45"/>
      <c r="K20" s="45"/>
      <c r="L20" s="45"/>
      <c r="M20" s="45"/>
      <c r="N20" s="45"/>
      <c r="O20" s="45"/>
      <c r="P20" s="45"/>
      <c r="Q20" s="47"/>
    </row>
    <row r="21" spans="2:17" ht="20.100000000000001" customHeight="1">
      <c r="B21" s="17"/>
      <c r="C21" s="18"/>
      <c r="E21" s="161" t="s">
        <v>80</v>
      </c>
      <c r="F21" s="164">
        <v>46143</v>
      </c>
      <c r="G21" s="21"/>
      <c r="H21" s="21"/>
      <c r="I21" s="43"/>
      <c r="M21" s="168" t="s">
        <v>81</v>
      </c>
      <c r="N21" s="171">
        <v>50</v>
      </c>
      <c r="O21" s="68"/>
      <c r="P21" s="68"/>
      <c r="Q21" s="76"/>
    </row>
    <row r="22" spans="2:17" ht="20.100000000000001" customHeight="1">
      <c r="B22" s="3"/>
      <c r="C22" s="19"/>
      <c r="E22" s="162" t="s">
        <v>20</v>
      </c>
      <c r="F22" s="165"/>
      <c r="G22" s="21"/>
      <c r="H22" s="21"/>
      <c r="I22" s="43"/>
      <c r="M22" s="169" t="s">
        <v>82</v>
      </c>
      <c r="N22" s="172" t="s">
        <v>83</v>
      </c>
      <c r="O22" s="70"/>
      <c r="P22" s="70"/>
      <c r="Q22" s="77"/>
    </row>
    <row r="23" spans="2:17" ht="20.100000000000001" customHeight="1">
      <c r="B23" s="17"/>
      <c r="C23" s="20"/>
      <c r="E23" s="162" t="s">
        <v>21</v>
      </c>
      <c r="F23" s="166"/>
      <c r="G23" s="21"/>
      <c r="H23" s="21"/>
      <c r="I23" s="43"/>
      <c r="M23" s="169" t="s">
        <v>84</v>
      </c>
      <c r="N23" s="173">
        <f>SUM(P35:P47)</f>
        <v>0</v>
      </c>
      <c r="O23" s="68"/>
      <c r="P23" s="68"/>
      <c r="Q23" s="76"/>
    </row>
    <row r="24" spans="2:17" ht="20.100000000000001" customHeight="1" thickBot="1">
      <c r="B24" s="17"/>
      <c r="C24" s="19"/>
      <c r="E24" s="163" t="s">
        <v>85</v>
      </c>
      <c r="F24" s="167" t="s">
        <v>18</v>
      </c>
      <c r="G24" s="21"/>
      <c r="H24" s="21"/>
      <c r="I24" s="43"/>
      <c r="M24" s="169" t="s">
        <v>86</v>
      </c>
      <c r="N24" s="174">
        <f>SUM(O35:O48)</f>
        <v>0</v>
      </c>
      <c r="O24" s="72"/>
      <c r="P24" s="72"/>
      <c r="Q24" s="73"/>
    </row>
    <row r="25" spans="2:17" ht="20.100000000000001" customHeight="1">
      <c r="B25" s="288"/>
      <c r="C25" s="253"/>
      <c r="D25" s="253"/>
      <c r="E25" s="264"/>
      <c r="F25" s="265"/>
      <c r="G25" s="265"/>
      <c r="H25" s="265"/>
      <c r="I25" s="43"/>
      <c r="M25" s="170" t="s">
        <v>87</v>
      </c>
      <c r="N25" s="175">
        <v>366285</v>
      </c>
      <c r="O25" s="71"/>
      <c r="P25" s="71"/>
      <c r="Q25" s="78"/>
    </row>
    <row r="26" spans="2:17" ht="20.100000000000001" customHeight="1" thickBot="1">
      <c r="B26" s="288"/>
      <c r="C26" s="253"/>
      <c r="D26" s="253"/>
      <c r="E26" s="264"/>
      <c r="F26" s="265"/>
      <c r="G26" s="265"/>
      <c r="H26" s="265"/>
      <c r="I26" s="43"/>
      <c r="M26" s="163" t="s">
        <v>88</v>
      </c>
      <c r="N26" s="176" t="s">
        <v>89</v>
      </c>
      <c r="O26" s="69"/>
      <c r="P26" s="69"/>
      <c r="Q26" s="79"/>
    </row>
    <row r="27" spans="2:17" ht="6" customHeight="1">
      <c r="B27" s="294"/>
      <c r="C27" s="265"/>
      <c r="D27" s="265"/>
      <c r="E27" s="264"/>
      <c r="F27" s="265"/>
      <c r="G27" s="265"/>
      <c r="H27" s="265"/>
      <c r="I27" s="43"/>
      <c r="J27" s="290"/>
      <c r="K27" s="265"/>
      <c r="L27" s="43"/>
      <c r="M27" s="43"/>
      <c r="N27" s="269"/>
      <c r="O27" s="265"/>
      <c r="P27" s="265"/>
      <c r="Q27" s="270"/>
    </row>
    <row r="28" spans="2:17" ht="21.95" customHeight="1">
      <c r="B28" s="262" t="s">
        <v>90</v>
      </c>
      <c r="C28" s="253"/>
      <c r="D28" s="253"/>
      <c r="E28" s="253"/>
      <c r="F28" s="253"/>
      <c r="G28" s="253"/>
      <c r="H28" s="253"/>
      <c r="I28" s="253"/>
      <c r="J28" s="253"/>
      <c r="K28" s="253"/>
      <c r="L28" s="253"/>
      <c r="M28" s="253"/>
      <c r="N28" s="253"/>
      <c r="O28" s="253"/>
      <c r="P28" s="253"/>
      <c r="Q28" s="263"/>
    </row>
    <row r="29" spans="2:17" ht="6" customHeight="1">
      <c r="B29" s="3"/>
      <c r="C29" s="48"/>
      <c r="D29" s="49"/>
      <c r="E29" s="48"/>
      <c r="F29" s="48"/>
      <c r="G29" s="48"/>
      <c r="H29" s="48"/>
      <c r="I29" s="48"/>
      <c r="J29" s="48"/>
      <c r="K29" s="48"/>
      <c r="L29" s="48"/>
      <c r="M29" s="48"/>
      <c r="N29" s="48"/>
      <c r="O29" s="48"/>
      <c r="P29" s="48"/>
      <c r="Q29" s="73"/>
    </row>
    <row r="30" spans="2:17" ht="20.100000000000001" customHeight="1">
      <c r="B30" s="3"/>
      <c r="C30" s="23"/>
      <c r="D30" s="177" t="s">
        <v>23</v>
      </c>
      <c r="E30" s="178"/>
      <c r="F30" s="16"/>
      <c r="G30" s="21"/>
      <c r="H30" s="21"/>
      <c r="I30" s="43"/>
      <c r="K30" s="177" t="s">
        <v>24</v>
      </c>
      <c r="L30" s="179"/>
      <c r="M30" s="80"/>
      <c r="N30" s="43"/>
      <c r="O30" s="43"/>
      <c r="P30" s="43"/>
      <c r="Q30" s="73"/>
    </row>
    <row r="31" spans="2:17" ht="6" customHeight="1">
      <c r="B31" s="4"/>
      <c r="C31" s="24"/>
      <c r="D31" s="50"/>
      <c r="E31" s="51"/>
      <c r="F31" s="51"/>
      <c r="G31" s="51"/>
      <c r="H31" s="51"/>
      <c r="I31" s="43"/>
      <c r="J31" s="52"/>
      <c r="K31" s="52"/>
      <c r="L31" s="53"/>
      <c r="M31" s="53"/>
      <c r="N31" s="53"/>
      <c r="O31" s="53"/>
      <c r="P31" s="53"/>
      <c r="Q31" s="73"/>
    </row>
    <row r="32" spans="2:17" ht="20.100000000000001" customHeight="1">
      <c r="B32" s="3"/>
      <c r="C32" s="19"/>
      <c r="D32" s="180" t="s">
        <v>25</v>
      </c>
      <c r="E32" s="181"/>
      <c r="F32" s="16"/>
      <c r="G32" s="21"/>
      <c r="H32" s="21"/>
      <c r="I32" s="21"/>
      <c r="K32" s="180" t="s">
        <v>94</v>
      </c>
      <c r="L32" s="182"/>
      <c r="M32" s="74"/>
      <c r="N32" s="21"/>
      <c r="O32" s="21"/>
      <c r="P32" s="21"/>
      <c r="Q32" s="73"/>
    </row>
    <row r="33" spans="2:17" ht="6" customHeight="1">
      <c r="B33" s="3"/>
      <c r="C33" s="15"/>
      <c r="D33" s="29"/>
      <c r="E33" s="15"/>
      <c r="F33" s="15"/>
      <c r="G33" s="15"/>
      <c r="H33" s="15"/>
      <c r="I33" s="15"/>
      <c r="J33" s="15"/>
      <c r="K33" s="15"/>
      <c r="L33" s="15"/>
      <c r="M33" s="15"/>
      <c r="N33" s="15"/>
      <c r="O33" s="15"/>
      <c r="P33" s="15"/>
      <c r="Q33" s="73"/>
    </row>
    <row r="34" spans="2:17" ht="21.95" customHeight="1">
      <c r="B34" s="266" t="s">
        <v>41</v>
      </c>
      <c r="C34" s="267"/>
      <c r="D34" s="268"/>
      <c r="E34" s="289" t="s">
        <v>95</v>
      </c>
      <c r="F34" s="267"/>
      <c r="G34" s="267"/>
      <c r="H34" s="267"/>
      <c r="I34" s="267"/>
      <c r="J34" s="267"/>
      <c r="K34" s="267"/>
      <c r="L34" s="268"/>
      <c r="M34" s="189"/>
      <c r="N34" s="189" t="s">
        <v>42</v>
      </c>
      <c r="O34" s="190" t="s">
        <v>96</v>
      </c>
      <c r="P34" s="189" t="s">
        <v>97</v>
      </c>
      <c r="Q34" s="191" t="s">
        <v>98</v>
      </c>
    </row>
    <row r="35" spans="2:17" ht="20.100000000000001" customHeight="1">
      <c r="B35" s="271">
        <v>850038082659</v>
      </c>
      <c r="C35" s="257"/>
      <c r="D35" s="258"/>
      <c r="E35" s="256" t="s">
        <v>553</v>
      </c>
      <c r="F35" s="257"/>
      <c r="G35" s="257"/>
      <c r="H35" s="257"/>
      <c r="I35" s="257"/>
      <c r="J35" s="257"/>
      <c r="K35" s="257"/>
      <c r="L35" s="258"/>
      <c r="M35" s="224"/>
      <c r="N35" s="225"/>
      <c r="O35" s="226" t="str">
        <f>IF(B35="","",IF(N35="","",IFERROR(IF(IFERROR(INDEX('Item Database'!$R$2:$R$500,MATCH(VALUE(B35),'Item Database'!$A$2:$A$500,0)),0)=0,"—",CEILING(N35/INDEX('Item Database'!$R$2:$R$500,MATCH(VALUE(B35),'Item Database'!$A$2:$A$500,0)),1)),)))</f>
        <v/>
      </c>
      <c r="P35" s="226" t="str">
        <f>IF(B35="","",IF(O35="","",IF(O35="—","",IFERROR(IF(IFERROR(INDEX('Item Database'!$S$2:$S$500,MATCH(VALUE(B35),'Item Database'!$A$2:$A$500,0)),0)=0,"—",O35*INDEX('Item Database'!$S$2:$S$500,MATCH(VALUE(B35),'Item Database'!$A$2:$A$500,0))),))))</f>
        <v/>
      </c>
      <c r="Q35" s="239" t="s">
        <v>47</v>
      </c>
    </row>
    <row r="36" spans="2:17" ht="20.100000000000001" customHeight="1">
      <c r="B36" s="259"/>
      <c r="C36" s="260"/>
      <c r="D36" s="261"/>
      <c r="E36" s="272"/>
      <c r="F36" s="260"/>
      <c r="G36" s="260"/>
      <c r="H36" s="260"/>
      <c r="I36" s="260"/>
      <c r="J36" s="260"/>
      <c r="K36" s="260"/>
      <c r="L36" s="261"/>
      <c r="M36" s="5"/>
      <c r="N36" s="192"/>
      <c r="O36" s="193"/>
      <c r="P36" s="193"/>
      <c r="Q36" s="194"/>
    </row>
    <row r="37" spans="2:17" ht="20.100000000000001" customHeight="1">
      <c r="B37" s="271"/>
      <c r="C37" s="257"/>
      <c r="D37" s="258"/>
      <c r="E37" s="256"/>
      <c r="F37" s="257"/>
      <c r="G37" s="257"/>
      <c r="H37" s="257"/>
      <c r="I37" s="257"/>
      <c r="J37" s="257"/>
      <c r="K37" s="257"/>
      <c r="L37" s="258"/>
      <c r="M37" s="227"/>
      <c r="N37" s="228"/>
      <c r="O37" s="229"/>
      <c r="P37" s="229"/>
      <c r="Q37" s="230"/>
    </row>
    <row r="38" spans="2:17" ht="20.100000000000001" customHeight="1">
      <c r="B38" s="259"/>
      <c r="C38" s="260"/>
      <c r="D38" s="261"/>
      <c r="E38" s="272"/>
      <c r="F38" s="260"/>
      <c r="G38" s="260"/>
      <c r="H38" s="260"/>
      <c r="I38" s="260"/>
      <c r="J38" s="260"/>
      <c r="K38" s="260"/>
      <c r="L38" s="261"/>
      <c r="M38" s="5"/>
      <c r="N38" s="192"/>
      <c r="O38" s="193"/>
      <c r="P38" s="193"/>
      <c r="Q38" s="194"/>
    </row>
    <row r="39" spans="2:17" ht="20.100000000000001" customHeight="1">
      <c r="B39" s="271"/>
      <c r="C39" s="257"/>
      <c r="D39" s="258"/>
      <c r="E39" s="256"/>
      <c r="F39" s="257"/>
      <c r="G39" s="257"/>
      <c r="H39" s="257"/>
      <c r="I39" s="257"/>
      <c r="J39" s="257"/>
      <c r="K39" s="257"/>
      <c r="L39" s="258"/>
      <c r="M39" s="227"/>
      <c r="N39" s="228"/>
      <c r="O39" s="229"/>
      <c r="P39" s="229"/>
      <c r="Q39" s="230"/>
    </row>
    <row r="40" spans="2:17" ht="20.100000000000001" customHeight="1">
      <c r="B40" s="259"/>
      <c r="C40" s="260"/>
      <c r="D40" s="261"/>
      <c r="E40" s="272"/>
      <c r="F40" s="260"/>
      <c r="G40" s="260"/>
      <c r="H40" s="260"/>
      <c r="I40" s="260"/>
      <c r="J40" s="260"/>
      <c r="K40" s="260"/>
      <c r="L40" s="261"/>
      <c r="M40" s="5"/>
      <c r="N40" s="192"/>
      <c r="O40" s="193"/>
      <c r="P40" s="193"/>
      <c r="Q40" s="194"/>
    </row>
    <row r="41" spans="2:17" ht="20.100000000000001" customHeight="1">
      <c r="B41" s="271"/>
      <c r="C41" s="257"/>
      <c r="D41" s="258"/>
      <c r="E41" s="256"/>
      <c r="F41" s="257"/>
      <c r="G41" s="257"/>
      <c r="H41" s="257"/>
      <c r="I41" s="257"/>
      <c r="J41" s="257"/>
      <c r="K41" s="257"/>
      <c r="L41" s="258"/>
      <c r="M41" s="227"/>
      <c r="N41" s="228"/>
      <c r="O41" s="229"/>
      <c r="P41" s="229"/>
      <c r="Q41" s="230"/>
    </row>
    <row r="42" spans="2:17" ht="20.100000000000001" customHeight="1">
      <c r="B42" s="259"/>
      <c r="C42" s="260"/>
      <c r="D42" s="261"/>
      <c r="E42" s="272"/>
      <c r="F42" s="260"/>
      <c r="G42" s="260"/>
      <c r="H42" s="260"/>
      <c r="I42" s="260"/>
      <c r="J42" s="260"/>
      <c r="K42" s="260"/>
      <c r="L42" s="261"/>
      <c r="M42" s="5"/>
      <c r="N42" s="192"/>
      <c r="O42" s="193"/>
      <c r="P42" s="193"/>
      <c r="Q42" s="195"/>
    </row>
    <row r="43" spans="2:17" ht="20.100000000000001" customHeight="1">
      <c r="B43" s="271"/>
      <c r="C43" s="257"/>
      <c r="D43" s="258"/>
      <c r="E43" s="256"/>
      <c r="F43" s="257"/>
      <c r="G43" s="257"/>
      <c r="H43" s="257"/>
      <c r="I43" s="257"/>
      <c r="J43" s="257"/>
      <c r="K43" s="257"/>
      <c r="L43" s="258"/>
      <c r="M43" s="227"/>
      <c r="N43" s="228"/>
      <c r="O43" s="229"/>
      <c r="P43" s="229"/>
      <c r="Q43" s="231"/>
    </row>
    <row r="44" spans="2:17" ht="20.100000000000001" customHeight="1">
      <c r="B44" s="259"/>
      <c r="C44" s="260"/>
      <c r="D44" s="261"/>
      <c r="E44" s="272"/>
      <c r="F44" s="260"/>
      <c r="G44" s="260"/>
      <c r="H44" s="260"/>
      <c r="I44" s="260"/>
      <c r="J44" s="260"/>
      <c r="K44" s="260"/>
      <c r="L44" s="261"/>
      <c r="M44" s="5"/>
      <c r="N44" s="235"/>
      <c r="O44" s="193"/>
      <c r="P44" s="196"/>
      <c r="Q44" s="195"/>
    </row>
    <row r="45" spans="2:17" ht="20.100000000000001" customHeight="1">
      <c r="B45" s="271"/>
      <c r="C45" s="257"/>
      <c r="D45" s="258"/>
      <c r="E45" s="256"/>
      <c r="F45" s="257"/>
      <c r="G45" s="257"/>
      <c r="H45" s="257"/>
      <c r="I45" s="257"/>
      <c r="J45" s="257"/>
      <c r="K45" s="257"/>
      <c r="L45" s="258"/>
      <c r="M45" s="227"/>
      <c r="N45" s="236"/>
      <c r="O45" s="229"/>
      <c r="P45" s="232"/>
      <c r="Q45" s="231"/>
    </row>
    <row r="46" spans="2:17" ht="20.100000000000001" customHeight="1">
      <c r="B46" s="259"/>
      <c r="C46" s="260"/>
      <c r="D46" s="261"/>
      <c r="E46" s="272"/>
      <c r="F46" s="260"/>
      <c r="G46" s="260"/>
      <c r="H46" s="260"/>
      <c r="I46" s="260"/>
      <c r="J46" s="260"/>
      <c r="K46" s="260"/>
      <c r="L46" s="261"/>
      <c r="M46" s="5"/>
      <c r="N46" s="235"/>
      <c r="O46" s="193"/>
      <c r="P46" s="196"/>
      <c r="Q46" s="195"/>
    </row>
    <row r="47" spans="2:17" ht="20.100000000000001" customHeight="1">
      <c r="B47" s="271"/>
      <c r="C47" s="257"/>
      <c r="D47" s="258"/>
      <c r="E47" s="285"/>
      <c r="F47" s="286"/>
      <c r="G47" s="286"/>
      <c r="H47" s="286"/>
      <c r="I47" s="286"/>
      <c r="J47" s="286"/>
      <c r="K47" s="286"/>
      <c r="L47" s="287"/>
      <c r="M47" s="227"/>
      <c r="N47" s="237"/>
      <c r="O47" s="229"/>
      <c r="P47" s="232"/>
      <c r="Q47" s="233"/>
    </row>
    <row r="48" spans="2:17" ht="20.100000000000001" customHeight="1">
      <c r="B48" s="259"/>
      <c r="C48" s="260"/>
      <c r="D48" s="261"/>
      <c r="E48" s="272"/>
      <c r="F48" s="260"/>
      <c r="G48" s="260"/>
      <c r="H48" s="260"/>
      <c r="I48" s="260"/>
      <c r="J48" s="260"/>
      <c r="K48" s="260"/>
      <c r="L48" s="261"/>
      <c r="M48" s="234"/>
      <c r="N48" s="238"/>
      <c r="O48" s="238"/>
      <c r="P48" s="238"/>
      <c r="Q48" s="240"/>
    </row>
    <row r="49" spans="2:17" ht="21.95" customHeight="1">
      <c r="B49" s="249"/>
      <c r="C49" s="250"/>
      <c r="D49" s="250"/>
      <c r="E49" s="250"/>
      <c r="F49" s="250"/>
      <c r="G49" s="250"/>
      <c r="H49" s="250"/>
      <c r="I49" s="250"/>
      <c r="J49" s="251"/>
      <c r="K49" s="22"/>
      <c r="L49" s="197" t="s">
        <v>110</v>
      </c>
      <c r="M49" s="197"/>
      <c r="N49" s="198">
        <v>73257</v>
      </c>
      <c r="O49" s="198">
        <v>53995</v>
      </c>
      <c r="P49" s="199">
        <v>2384.125</v>
      </c>
      <c r="Q49" s="200">
        <v>0</v>
      </c>
    </row>
    <row r="50" spans="2:17" ht="20.100000000000001" customHeight="1">
      <c r="B50" s="274" t="s">
        <v>111</v>
      </c>
      <c r="C50" s="253"/>
      <c r="D50" s="253"/>
      <c r="E50" s="253"/>
      <c r="F50" s="253"/>
      <c r="G50" s="253"/>
      <c r="H50" s="253"/>
      <c r="I50" s="253"/>
      <c r="J50" s="254"/>
      <c r="K50" s="54"/>
      <c r="L50" s="197" t="s">
        <v>112</v>
      </c>
      <c r="M50" s="197"/>
      <c r="N50" s="201"/>
      <c r="O50" s="202"/>
      <c r="P50" s="203"/>
      <c r="Q50" s="204"/>
    </row>
    <row r="51" spans="2:17" ht="18" customHeight="1">
      <c r="B51" s="252"/>
      <c r="C51" s="253"/>
      <c r="D51" s="253"/>
      <c r="E51" s="253"/>
      <c r="F51" s="253"/>
      <c r="G51" s="253"/>
      <c r="H51" s="253"/>
      <c r="I51" s="253"/>
      <c r="J51" s="254"/>
      <c r="K51" s="54"/>
      <c r="L51" s="197" t="s">
        <v>113</v>
      </c>
      <c r="M51" s="197"/>
      <c r="N51" s="201"/>
      <c r="O51" s="202"/>
      <c r="P51" s="203"/>
      <c r="Q51" s="205">
        <v>0</v>
      </c>
    </row>
    <row r="52" spans="2:17" ht="18" customHeight="1">
      <c r="B52" s="295"/>
      <c r="C52" s="265"/>
      <c r="D52" s="265"/>
      <c r="E52" s="265"/>
      <c r="F52" s="265"/>
      <c r="G52" s="265"/>
      <c r="H52" s="265"/>
      <c r="I52" s="265"/>
      <c r="J52" s="296"/>
      <c r="K52" s="36"/>
      <c r="L52" s="206"/>
      <c r="M52" s="207"/>
      <c r="N52" s="208"/>
      <c r="O52" s="209"/>
      <c r="P52" s="209"/>
      <c r="Q52" s="210"/>
    </row>
    <row r="53" spans="2:17" ht="18" customHeight="1">
      <c r="B53" s="252"/>
      <c r="C53" s="253"/>
      <c r="D53" s="253"/>
      <c r="E53" s="253"/>
      <c r="F53" s="253"/>
      <c r="G53" s="253"/>
      <c r="H53" s="253"/>
      <c r="I53" s="253"/>
      <c r="J53" s="254"/>
      <c r="K53" s="36"/>
      <c r="L53" s="206"/>
      <c r="M53" s="207"/>
      <c r="N53" s="208"/>
      <c r="O53" s="209"/>
      <c r="P53" s="209"/>
      <c r="Q53" s="210"/>
    </row>
    <row r="54" spans="2:17" ht="18" customHeight="1">
      <c r="B54" s="252"/>
      <c r="C54" s="253"/>
      <c r="D54" s="253"/>
      <c r="E54" s="253"/>
      <c r="F54" s="253"/>
      <c r="G54" s="253"/>
      <c r="H54" s="253"/>
      <c r="I54" s="253"/>
      <c r="J54" s="254"/>
      <c r="K54" s="36"/>
      <c r="L54" s="206"/>
      <c r="M54" s="207"/>
      <c r="N54" s="208"/>
      <c r="O54" s="209"/>
      <c r="P54" s="209"/>
      <c r="Q54" s="210"/>
    </row>
    <row r="55" spans="2:17" ht="18" customHeight="1">
      <c r="B55" s="252"/>
      <c r="C55" s="253"/>
      <c r="D55" s="253"/>
      <c r="E55" s="253"/>
      <c r="F55" s="253"/>
      <c r="G55" s="253"/>
      <c r="H55" s="253"/>
      <c r="I55" s="253"/>
      <c r="J55" s="254"/>
      <c r="K55" s="36"/>
      <c r="L55" s="206"/>
      <c r="M55" s="207"/>
      <c r="N55" s="208"/>
      <c r="O55" s="209"/>
      <c r="P55" s="209"/>
      <c r="Q55" s="210"/>
    </row>
    <row r="56" spans="2:17" ht="18" customHeight="1">
      <c r="B56" s="252"/>
      <c r="C56" s="253"/>
      <c r="D56" s="253"/>
      <c r="E56" s="253"/>
      <c r="F56" s="253"/>
      <c r="G56" s="253"/>
      <c r="H56" s="253"/>
      <c r="I56" s="253"/>
      <c r="J56" s="254"/>
      <c r="K56" s="36"/>
      <c r="L56" s="206"/>
      <c r="M56" s="207"/>
      <c r="N56" s="208"/>
      <c r="O56" s="209"/>
      <c r="P56" s="209"/>
      <c r="Q56" s="210"/>
    </row>
    <row r="57" spans="2:17" ht="18" customHeight="1">
      <c r="B57" s="252"/>
      <c r="C57" s="253"/>
      <c r="D57" s="253"/>
      <c r="E57" s="253"/>
      <c r="F57" s="253"/>
      <c r="G57" s="253"/>
      <c r="H57" s="253"/>
      <c r="I57" s="253"/>
      <c r="J57" s="254"/>
      <c r="K57" s="36"/>
      <c r="L57" s="206"/>
      <c r="M57" s="207"/>
      <c r="N57" s="208"/>
      <c r="O57" s="209"/>
      <c r="P57" s="209"/>
      <c r="Q57" s="210"/>
    </row>
    <row r="58" spans="2:17" ht="21.95" customHeight="1">
      <c r="B58" s="276"/>
      <c r="C58" s="277"/>
      <c r="D58" s="277"/>
      <c r="E58" s="277"/>
      <c r="F58" s="277"/>
      <c r="G58" s="277"/>
      <c r="H58" s="277"/>
      <c r="I58" s="277"/>
      <c r="J58" s="278"/>
      <c r="K58" s="36"/>
      <c r="L58" s="211" t="s">
        <v>115</v>
      </c>
      <c r="M58" s="211"/>
      <c r="N58" s="212"/>
      <c r="O58" s="213"/>
      <c r="P58" s="213" t="s">
        <v>116</v>
      </c>
      <c r="Q58" s="214">
        <v>0</v>
      </c>
    </row>
    <row r="59" spans="2:17" ht="8.1" customHeight="1">
      <c r="B59" s="6"/>
      <c r="C59" s="36"/>
      <c r="D59" s="55"/>
      <c r="E59" s="36"/>
      <c r="F59" s="36"/>
      <c r="G59" s="36"/>
      <c r="H59" s="36"/>
      <c r="I59" s="36"/>
      <c r="J59" s="36"/>
      <c r="K59" s="36"/>
      <c r="L59" s="36"/>
      <c r="M59" s="36"/>
      <c r="N59" s="15"/>
      <c r="O59" s="15"/>
      <c r="P59" s="15"/>
      <c r="Q59" s="2"/>
    </row>
    <row r="60" spans="2:17" ht="18" customHeight="1">
      <c r="B60" s="292" t="s">
        <v>117</v>
      </c>
      <c r="C60" s="265"/>
      <c r="D60" s="265"/>
      <c r="E60" s="265"/>
      <c r="F60" s="265"/>
      <c r="G60" s="265"/>
      <c r="H60" s="265"/>
      <c r="I60" s="265"/>
      <c r="J60" s="265"/>
      <c r="K60" s="265"/>
      <c r="L60" s="265"/>
      <c r="M60" s="265"/>
      <c r="N60" s="265"/>
      <c r="O60" s="265"/>
      <c r="P60" s="265"/>
      <c r="Q60" s="270"/>
    </row>
    <row r="61" spans="2:17" ht="9.9499999999999993" customHeight="1">
      <c r="B61" s="293"/>
      <c r="C61" s="265"/>
      <c r="D61" s="265"/>
      <c r="E61" s="265"/>
      <c r="F61" s="265"/>
      <c r="G61" s="265"/>
      <c r="H61" s="265"/>
      <c r="I61" s="265"/>
      <c r="J61" s="265"/>
      <c r="K61" s="265"/>
      <c r="L61" s="265"/>
      <c r="M61" s="265"/>
      <c r="N61" s="265"/>
      <c r="O61" s="15"/>
      <c r="P61" s="15"/>
      <c r="Q61" s="2"/>
    </row>
    <row r="62" spans="2:17" ht="18" customHeight="1">
      <c r="B62" s="279" t="s">
        <v>118</v>
      </c>
      <c r="C62" s="280"/>
      <c r="D62" s="280"/>
      <c r="E62" s="280"/>
      <c r="F62" s="280"/>
      <c r="G62" s="281"/>
      <c r="H62" s="56"/>
      <c r="I62" s="56"/>
      <c r="J62" s="15"/>
      <c r="K62" s="15"/>
      <c r="L62" s="15"/>
      <c r="M62" s="15"/>
      <c r="N62" s="7"/>
      <c r="O62" s="7"/>
      <c r="P62" s="7"/>
      <c r="Q62" s="57"/>
    </row>
    <row r="63" spans="2:17" ht="9.9499999999999993" customHeight="1">
      <c r="B63" s="282"/>
      <c r="C63" s="283"/>
      <c r="D63" s="283"/>
      <c r="E63" s="283"/>
      <c r="F63" s="283"/>
      <c r="G63" s="284"/>
      <c r="H63" s="15"/>
      <c r="I63" s="15"/>
      <c r="J63" s="15"/>
      <c r="K63" s="15"/>
      <c r="L63" s="15"/>
      <c r="M63" s="15"/>
      <c r="N63" s="8"/>
      <c r="O63" s="8"/>
      <c r="P63" s="8"/>
      <c r="Q63" s="58"/>
    </row>
    <row r="64" spans="2:17" ht="9.9499999999999993" customHeight="1">
      <c r="B64" s="9"/>
      <c r="C64" s="59"/>
      <c r="D64" s="60"/>
      <c r="E64" s="59"/>
      <c r="F64" s="59"/>
      <c r="G64" s="59"/>
      <c r="H64" s="15"/>
      <c r="I64" s="15"/>
      <c r="J64" s="59"/>
      <c r="K64" s="59"/>
      <c r="L64" s="59"/>
      <c r="M64" s="59"/>
      <c r="N64" s="59"/>
      <c r="O64" s="15"/>
      <c r="P64" s="15"/>
      <c r="Q64" s="2"/>
    </row>
    <row r="65" spans="2:17" ht="15.95" customHeight="1">
      <c r="B65" s="275" t="s">
        <v>119</v>
      </c>
      <c r="C65" s="265"/>
      <c r="D65" s="265"/>
      <c r="E65" s="265"/>
      <c r="F65" s="265"/>
      <c r="G65" s="265"/>
      <c r="H65" s="265"/>
      <c r="I65" s="265"/>
      <c r="J65" s="265"/>
      <c r="K65" s="265"/>
      <c r="L65" s="265"/>
      <c r="M65" s="265"/>
      <c r="N65" s="265"/>
      <c r="O65" s="265"/>
      <c r="P65" s="265"/>
      <c r="Q65" s="270"/>
    </row>
    <row r="66" spans="2:17" ht="15.95" customHeight="1">
      <c r="B66" s="273" t="s">
        <v>120</v>
      </c>
      <c r="C66" s="265"/>
      <c r="D66" s="265"/>
      <c r="E66" s="265"/>
      <c r="F66" s="265"/>
      <c r="G66" s="265"/>
      <c r="H66" s="265"/>
      <c r="I66" s="265"/>
      <c r="J66" s="265"/>
      <c r="K66" s="265"/>
      <c r="L66" s="265"/>
      <c r="M66" s="265"/>
      <c r="N66" s="265"/>
      <c r="O66" s="265"/>
      <c r="P66" s="265"/>
      <c r="Q66" s="270"/>
    </row>
    <row r="67" spans="2:17" ht="15.95" customHeight="1">
      <c r="B67" s="273" t="s">
        <v>121</v>
      </c>
      <c r="C67" s="265"/>
      <c r="D67" s="265"/>
      <c r="E67" s="265"/>
      <c r="F67" s="265"/>
      <c r="G67" s="265"/>
      <c r="H67" s="265"/>
      <c r="I67" s="265"/>
      <c r="J67" s="265"/>
      <c r="K67" s="265"/>
      <c r="L67" s="265"/>
      <c r="M67" s="265"/>
      <c r="N67" s="265"/>
      <c r="O67" s="265"/>
      <c r="P67" s="265"/>
      <c r="Q67" s="270"/>
    </row>
    <row r="68" spans="2:17" ht="15.75" customHeight="1" thickBot="1">
      <c r="B68" s="10"/>
      <c r="C68" s="11"/>
      <c r="D68" s="12"/>
      <c r="E68" s="11"/>
      <c r="F68" s="11"/>
      <c r="G68" s="11"/>
      <c r="H68" s="11"/>
      <c r="I68" s="11"/>
      <c r="J68" s="11"/>
      <c r="K68" s="11"/>
      <c r="L68" s="11"/>
      <c r="M68" s="11"/>
      <c r="N68" s="11"/>
      <c r="O68" s="11"/>
      <c r="P68" s="11"/>
      <c r="Q68" s="13"/>
    </row>
  </sheetData>
  <mergeCells count="59">
    <mergeCell ref="N27:Q27"/>
    <mergeCell ref="B4:F4"/>
    <mergeCell ref="B9:F9"/>
    <mergeCell ref="B12:F12"/>
    <mergeCell ref="B19:Q19"/>
    <mergeCell ref="B25:D25"/>
    <mergeCell ref="E25:H25"/>
    <mergeCell ref="B36:D36"/>
    <mergeCell ref="E36:L36"/>
    <mergeCell ref="B26:D26"/>
    <mergeCell ref="E26:H26"/>
    <mergeCell ref="B27:D27"/>
    <mergeCell ref="E27:H27"/>
    <mergeCell ref="J27:K27"/>
    <mergeCell ref="B28:Q28"/>
    <mergeCell ref="B34:D34"/>
    <mergeCell ref="E34:L34"/>
    <mergeCell ref="B35:D35"/>
    <mergeCell ref="E35:L35"/>
    <mergeCell ref="B37:D37"/>
    <mergeCell ref="E37:L37"/>
    <mergeCell ref="B38:D38"/>
    <mergeCell ref="E38:L38"/>
    <mergeCell ref="B39:D39"/>
    <mergeCell ref="E39:L39"/>
    <mergeCell ref="B40:D40"/>
    <mergeCell ref="E40:L40"/>
    <mergeCell ref="B41:D41"/>
    <mergeCell ref="E41:L41"/>
    <mergeCell ref="B42:D42"/>
    <mergeCell ref="E42:L42"/>
    <mergeCell ref="B43:D43"/>
    <mergeCell ref="E43:L43"/>
    <mergeCell ref="B44:D44"/>
    <mergeCell ref="E44:L44"/>
    <mergeCell ref="B45:D45"/>
    <mergeCell ref="E45:L45"/>
    <mergeCell ref="B54:J54"/>
    <mergeCell ref="B46:D46"/>
    <mergeCell ref="E46:L46"/>
    <mergeCell ref="B47:D47"/>
    <mergeCell ref="E47:L47"/>
    <mergeCell ref="B48:D48"/>
    <mergeCell ref="E48:L48"/>
    <mergeCell ref="B49:J49"/>
    <mergeCell ref="B50:J50"/>
    <mergeCell ref="B51:J51"/>
    <mergeCell ref="B52:J52"/>
    <mergeCell ref="B53:J53"/>
    <mergeCell ref="B62:G63"/>
    <mergeCell ref="B65:Q65"/>
    <mergeCell ref="B66:Q66"/>
    <mergeCell ref="B67:Q67"/>
    <mergeCell ref="B55:J55"/>
    <mergeCell ref="B56:J56"/>
    <mergeCell ref="B57:J57"/>
    <mergeCell ref="B58:J58"/>
    <mergeCell ref="B60:Q60"/>
    <mergeCell ref="B61:N61"/>
  </mergeCells>
  <dataValidations count="8">
    <dataValidation type="list" allowBlank="1" showInputMessage="1" showErrorMessage="1" promptTitle="Inco Terms" prompt="Select Incoterms for this shipment" sqref="N22" xr:uid="{6E522907-BC39-422B-8559-DFF137C5CA9F}">
      <formula1>"DDP IncoTerms 2020,FOB Ningbo,CIF Los Angeles,EXW Factory,CFR Los Angeles,DAP IncoTerms 2020"</formula1>
    </dataValidation>
    <dataValidation type="list" allowBlank="1" showInputMessage="1" showErrorMessage="1" promptTitle="Currency" prompt="Select order currency" sqref="N26" xr:uid="{C47D96B0-3B7C-43B6-8155-1105AFAE2F5C}">
      <formula1>"USD,EUR,GBP,CNY,RMB"</formula1>
    </dataValidation>
    <dataValidation type="whole" operator="greaterThanOrEqual" allowBlank="1" showInputMessage="1" showErrorMessage="1" errorTitle="Invalid Lead Time" error="Please enter a whole number of days (≥ 1)." promptTitle="Lead Time (Days)" prompt="Enter the manufacturing/shipping lead time in days" sqref="N21" xr:uid="{F99055AF-E5DE-4533-A348-4FADFC3CE4DC}">
      <formula1>1</formula1>
    </dataValidation>
    <dataValidation type="list" allowBlank="1" showInputMessage="1" showErrorMessage="1" promptTitle="Payment Terms" prompt="Select payment terms for this order" sqref="F23" xr:uid="{F5FF7753-33EE-4775-B878-17BD2CD9096A}">
      <formula1>"Net 30,Net 60,Net 90,50/50 Before Shipment,30/70 Before Shipment,100% Before Shipment,LC at Sight,TT in Advance"</formula1>
    </dataValidation>
    <dataValidation type="list" allowBlank="1" showInputMessage="1" showErrorMessage="1" promptTitle="Transport Mode" prompt="Select mode of transportation" sqref="F24" xr:uid="{BC5FCA6D-ECBF-4E3F-8E50-D58CBEBF3F0C}">
      <formula1>"Container,LCL,Air Freight,Express Courier,Sea + Air"</formula1>
    </dataValidation>
    <dataValidation type="date" operator="greaterThanOrEqual" allowBlank="1" showInputMessage="1" showErrorMessage="1" errorTitle="Invalid Date" error="Please enter a valid date on or after January 1, 2024." promptTitle="📅 Requested Ship Date" prompt="Enter a date (e.g. 7/15/2025). Must be 2024 or later." sqref="F21" xr:uid="{16CCBEFF-EFF8-4BB8-80FA-3F5FA02D231D}">
      <formula1>45292</formula1>
    </dataValidation>
    <dataValidation type="whole" operator="greaterThanOrEqual" allowBlank="1" showInputMessage="1" showErrorMessage="1" errorTitle="Invalid Quantity" error="Whole number ≥ 1." sqref="N35:N47" xr:uid="{ACA15642-5EF7-4976-9C74-5DEFB8BFF858}">
      <formula1>1</formula1>
    </dataValidation>
    <dataValidation type="list" errorStyle="warning" allowBlank="1" showInputMessage="1" showErrorMessage="1" errorTitle="Unknown Destination" error="Not in list. Continue?" sqref="Q35:Q47" xr:uid="{781F440E-72C8-4F29-BC11-A25827D705FB}">
      <formula1>"AM-MTB,AM-SS,AMZN-SS,BERLINSS,CHRATLSS,COSM-MT,ECHODAMT,ECHODASS,HG-SS,Huini-SS,IBR-MTB,MT-IT-AW,NINGBOMT,NINGBOSS,OFFICEMT,OFFICESS,OXYGENSS,SBGA-MT,SBGA-SS,SCBOXSS"</formula1>
    </dataValidation>
  </dataValidations>
  <printOptions horizontalCentered="1"/>
  <pageMargins left="0.25" right="0.25" top="0.25" bottom="0.25" header="0.125" footer="0.125"/>
  <pageSetup orientation="landscape"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6E753-718F-4911-8BB3-8274656FE036}">
  <sheetPr codeName="Sheet9">
    <tabColor rgb="FFC0C0C0"/>
    <pageSetUpPr fitToPage="1"/>
  </sheetPr>
  <dimension ref="B1:Q68"/>
  <sheetViews>
    <sheetView showGridLines="0" topLeftCell="D20" zoomScaleNormal="100" workbookViewId="0">
      <selection activeCell="B5" sqref="B5:B8"/>
    </sheetView>
  </sheetViews>
  <sheetFormatPr defaultRowHeight="15"/>
  <cols>
    <col min="1" max="1" width="0.7109375" customWidth="1"/>
    <col min="2" max="2" width="9.5703125" customWidth="1"/>
    <col min="3" max="3" width="5.28515625" customWidth="1"/>
    <col min="4" max="5" width="12.140625" customWidth="1"/>
    <col min="6" max="6" width="11.42578125" customWidth="1"/>
    <col min="7" max="10" width="2.7109375" customWidth="1"/>
    <col min="11" max="11" width="9.5703125" customWidth="1"/>
    <col min="12" max="12" width="11.42578125" customWidth="1"/>
    <col min="13" max="13" width="12.5703125" customWidth="1"/>
    <col min="14" max="14" width="15.5703125" customWidth="1"/>
    <col min="15" max="15" width="12.5703125" customWidth="1"/>
    <col min="16" max="16" width="8.7109375" customWidth="1"/>
    <col min="17" max="17" width="12.5703125" customWidth="1"/>
  </cols>
  <sheetData>
    <row r="1" spans="2:17" ht="8.1" customHeight="1"/>
    <row r="2" spans="2:17" ht="8.1" customHeight="1"/>
    <row r="3" spans="2:17" ht="8.1" customHeight="1"/>
    <row r="4" spans="2:17" ht="27.95" customHeight="1" thickBot="1">
      <c r="B4" s="255" t="s">
        <v>61</v>
      </c>
      <c r="C4" s="253"/>
      <c r="D4" s="253"/>
      <c r="E4" s="253"/>
      <c r="F4" s="253"/>
      <c r="G4" s="19"/>
      <c r="H4" s="25"/>
      <c r="I4" s="26"/>
      <c r="J4" s="26"/>
      <c r="K4" s="26"/>
      <c r="L4" s="26"/>
      <c r="M4" s="26"/>
      <c r="O4" s="153" t="s">
        <v>62</v>
      </c>
      <c r="P4" s="27"/>
      <c r="Q4" s="28"/>
    </row>
    <row r="5" spans="2:17" ht="21.95" customHeight="1">
      <c r="B5" s="63" t="s">
        <v>7</v>
      </c>
      <c r="C5" s="241"/>
      <c r="D5" s="64"/>
      <c r="E5" s="15"/>
      <c r="F5" s="15"/>
      <c r="G5" s="30"/>
      <c r="H5" s="31"/>
      <c r="I5" s="15"/>
      <c r="J5" s="15"/>
      <c r="K5" s="15"/>
      <c r="L5" s="15"/>
      <c r="M5" s="15"/>
      <c r="N5" s="15"/>
      <c r="O5" s="15"/>
      <c r="P5" s="15"/>
      <c r="Q5" s="2"/>
    </row>
    <row r="6" spans="2:17" ht="18" customHeight="1">
      <c r="B6" s="154" t="s">
        <v>1091</v>
      </c>
      <c r="C6" s="21"/>
      <c r="D6" s="32"/>
      <c r="E6" s="21"/>
      <c r="F6" s="21"/>
      <c r="G6" s="30"/>
      <c r="H6" s="31"/>
      <c r="I6" s="15"/>
      <c r="J6" s="15"/>
      <c r="K6" s="15"/>
      <c r="L6" s="15"/>
      <c r="M6" s="15"/>
      <c r="N6" s="183" t="s">
        <v>65</v>
      </c>
      <c r="O6" s="183" t="s">
        <v>66</v>
      </c>
      <c r="P6" s="21"/>
      <c r="Q6" s="32"/>
    </row>
    <row r="7" spans="2:17" ht="18" customHeight="1">
      <c r="B7" s="154"/>
      <c r="C7" s="21"/>
      <c r="D7" s="32"/>
      <c r="E7" s="21"/>
      <c r="F7" s="21"/>
      <c r="G7" s="33"/>
      <c r="H7" s="15"/>
      <c r="I7" s="15"/>
      <c r="J7" s="15"/>
      <c r="K7" s="15"/>
      <c r="L7" s="15"/>
      <c r="M7" s="15"/>
      <c r="N7" s="184" t="s">
        <v>4</v>
      </c>
      <c r="O7" s="185">
        <v>46113</v>
      </c>
      <c r="P7" s="16"/>
      <c r="Q7" s="32"/>
    </row>
    <row r="8" spans="2:17" ht="18" customHeight="1" thickBot="1">
      <c r="B8" s="155" t="s">
        <v>68</v>
      </c>
      <c r="C8" s="65"/>
      <c r="D8" s="66"/>
      <c r="E8" s="33"/>
      <c r="F8" s="33"/>
      <c r="G8" s="33"/>
      <c r="H8" s="15"/>
      <c r="I8" s="15"/>
      <c r="J8" s="15"/>
      <c r="K8" s="15"/>
      <c r="L8" s="15"/>
      <c r="M8" s="15"/>
      <c r="N8" s="183"/>
      <c r="O8" s="186"/>
      <c r="P8" s="16"/>
      <c r="Q8" s="32"/>
    </row>
    <row r="9" spans="2:17" ht="18" customHeight="1" thickBot="1">
      <c r="B9" s="291"/>
      <c r="C9" s="265"/>
      <c r="D9" s="265"/>
      <c r="E9" s="265"/>
      <c r="F9" s="265"/>
      <c r="G9" s="15"/>
      <c r="H9" s="15"/>
      <c r="I9" s="15"/>
      <c r="J9" s="15"/>
      <c r="K9" s="15"/>
      <c r="L9" s="15"/>
      <c r="M9" s="15"/>
      <c r="N9" s="184" t="s">
        <v>69</v>
      </c>
      <c r="O9" s="184">
        <v>3148</v>
      </c>
      <c r="P9" s="16"/>
      <c r="Q9" s="32"/>
    </row>
    <row r="10" spans="2:17" ht="18" customHeight="1" thickBot="1">
      <c r="B10" s="242" t="s">
        <v>70</v>
      </c>
      <c r="C10" s="243" t="s">
        <v>71</v>
      </c>
      <c r="D10" s="67"/>
      <c r="E10" s="15"/>
      <c r="F10" s="15"/>
      <c r="G10" s="15"/>
      <c r="H10" s="15"/>
      <c r="I10" s="15"/>
      <c r="J10" s="15"/>
      <c r="K10" s="15"/>
      <c r="L10" s="15"/>
      <c r="M10" s="15"/>
      <c r="N10" s="184" t="s">
        <v>72</v>
      </c>
      <c r="O10" s="184"/>
      <c r="P10" s="16"/>
      <c r="Q10" s="32"/>
    </row>
    <row r="11" spans="2:17" ht="3.95" customHeight="1">
      <c r="B11" s="244"/>
      <c r="C11" s="34"/>
      <c r="D11" s="35"/>
      <c r="E11" s="34"/>
      <c r="F11" s="34"/>
      <c r="G11" s="34"/>
      <c r="H11" s="15"/>
      <c r="I11" s="15"/>
      <c r="J11" s="15"/>
      <c r="K11" s="15"/>
      <c r="L11" s="15"/>
      <c r="M11" s="15"/>
      <c r="N11" s="187"/>
      <c r="O11" s="188"/>
      <c r="P11" s="21"/>
      <c r="Q11" s="32"/>
    </row>
    <row r="12" spans="2:17" ht="21.95" customHeight="1">
      <c r="B12" s="255" t="s">
        <v>73</v>
      </c>
      <c r="C12" s="253"/>
      <c r="D12" s="253"/>
      <c r="E12" s="253"/>
      <c r="F12" s="253"/>
      <c r="G12" s="36"/>
      <c r="H12" s="15"/>
      <c r="I12" s="15"/>
      <c r="J12" s="15"/>
      <c r="K12" s="15"/>
      <c r="L12" s="75" t="s">
        <v>74</v>
      </c>
      <c r="M12" s="75"/>
      <c r="N12" s="61"/>
      <c r="O12" s="61"/>
      <c r="P12" s="61"/>
      <c r="Q12" s="62"/>
    </row>
    <row r="13" spans="2:17" ht="21.95" customHeight="1">
      <c r="B13" s="1" t="s">
        <v>13</v>
      </c>
      <c r="C13" s="19"/>
      <c r="D13" s="37"/>
      <c r="E13" s="19"/>
      <c r="F13" s="21"/>
      <c r="G13" s="15"/>
      <c r="H13" s="15"/>
      <c r="I13" s="15"/>
      <c r="J13" s="15"/>
      <c r="K13" s="15"/>
      <c r="L13" s="215"/>
      <c r="M13" s="215"/>
      <c r="N13" s="216"/>
      <c r="O13" s="216"/>
      <c r="P13" s="216"/>
      <c r="Q13" s="217"/>
    </row>
    <row r="14" spans="2:17" ht="18" customHeight="1">
      <c r="B14" s="156" t="s">
        <v>75</v>
      </c>
      <c r="C14" s="38"/>
      <c r="D14" s="39"/>
      <c r="E14" s="40"/>
      <c r="F14" s="30"/>
      <c r="G14" s="15"/>
      <c r="H14" s="15"/>
      <c r="I14" s="15"/>
      <c r="J14" s="15"/>
      <c r="K14" s="15"/>
      <c r="L14" s="215"/>
      <c r="M14" s="215"/>
      <c r="N14" s="218"/>
      <c r="O14" s="218"/>
      <c r="P14" s="218"/>
      <c r="Q14" s="219"/>
    </row>
    <row r="15" spans="2:17" ht="18" customHeight="1">
      <c r="B15" s="157" t="s">
        <v>76</v>
      </c>
      <c r="C15" s="41"/>
      <c r="D15" s="39"/>
      <c r="E15" s="40"/>
      <c r="F15" s="30"/>
      <c r="G15" s="15"/>
      <c r="H15" s="15"/>
      <c r="I15" s="15"/>
      <c r="J15" s="15"/>
      <c r="K15" s="15"/>
      <c r="L15" s="215"/>
      <c r="M15" s="215"/>
      <c r="N15" s="218"/>
      <c r="O15" s="218"/>
      <c r="P15" s="218"/>
      <c r="Q15" s="219"/>
    </row>
    <row r="16" spans="2:17" ht="18" customHeight="1">
      <c r="B16" s="158" t="s">
        <v>1097</v>
      </c>
      <c r="C16" s="42"/>
      <c r="D16" s="42"/>
      <c r="E16" s="42"/>
      <c r="F16" s="33"/>
      <c r="G16" s="15"/>
      <c r="H16" s="15"/>
      <c r="I16" s="15"/>
      <c r="J16" s="15"/>
      <c r="K16" s="15"/>
      <c r="L16" s="215"/>
      <c r="M16" s="215"/>
      <c r="N16" s="215"/>
      <c r="O16" s="215"/>
      <c r="P16" s="215"/>
      <c r="Q16" s="220"/>
    </row>
    <row r="17" spans="2:17" ht="18" customHeight="1">
      <c r="B17" s="156">
        <v>315201</v>
      </c>
      <c r="C17" s="42"/>
      <c r="D17" s="42"/>
      <c r="E17" s="42"/>
      <c r="F17" s="33"/>
      <c r="G17" s="15"/>
      <c r="H17" s="15"/>
      <c r="I17" s="15"/>
      <c r="J17" s="15"/>
      <c r="K17" s="15"/>
      <c r="L17" s="215"/>
      <c r="M17" s="215"/>
      <c r="N17" s="221"/>
      <c r="O17" s="222"/>
      <c r="P17" s="222"/>
      <c r="Q17" s="223"/>
    </row>
    <row r="18" spans="2:17" ht="18" customHeight="1">
      <c r="B18" s="159" t="s">
        <v>70</v>
      </c>
      <c r="C18" s="160" t="s">
        <v>78</v>
      </c>
      <c r="D18" s="19"/>
      <c r="E18" s="19"/>
      <c r="F18" s="21"/>
      <c r="G18" s="44"/>
      <c r="H18" s="15"/>
      <c r="I18" s="15"/>
      <c r="J18" s="15"/>
      <c r="K18" s="15"/>
      <c r="L18" s="215"/>
      <c r="M18" s="215"/>
      <c r="N18" s="222"/>
      <c r="O18" s="222"/>
      <c r="P18" s="222"/>
      <c r="Q18" s="223"/>
    </row>
    <row r="19" spans="2:17" ht="21.95" customHeight="1">
      <c r="B19" s="262" t="s">
        <v>79</v>
      </c>
      <c r="C19" s="253"/>
      <c r="D19" s="253"/>
      <c r="E19" s="253"/>
      <c r="F19" s="253"/>
      <c r="G19" s="253"/>
      <c r="H19" s="253"/>
      <c r="I19" s="253"/>
      <c r="J19" s="253"/>
      <c r="K19" s="253"/>
      <c r="L19" s="253"/>
      <c r="M19" s="253"/>
      <c r="N19" s="253"/>
      <c r="O19" s="253"/>
      <c r="P19" s="253"/>
      <c r="Q19" s="263"/>
    </row>
    <row r="20" spans="2:17" ht="6" customHeight="1" thickBot="1">
      <c r="B20" s="17"/>
      <c r="C20" s="45"/>
      <c r="D20" s="46"/>
      <c r="E20" s="45"/>
      <c r="F20" s="45"/>
      <c r="G20" s="45"/>
      <c r="H20" s="45"/>
      <c r="I20" s="45"/>
      <c r="J20" s="45"/>
      <c r="K20" s="45"/>
      <c r="L20" s="45"/>
      <c r="M20" s="45"/>
      <c r="N20" s="45"/>
      <c r="O20" s="45"/>
      <c r="P20" s="45"/>
      <c r="Q20" s="47"/>
    </row>
    <row r="21" spans="2:17" ht="20.100000000000001" customHeight="1">
      <c r="B21" s="17"/>
      <c r="C21" s="18"/>
      <c r="E21" s="161" t="s">
        <v>80</v>
      </c>
      <c r="F21" s="164">
        <v>46143</v>
      </c>
      <c r="G21" s="21"/>
      <c r="H21" s="21"/>
      <c r="I21" s="43"/>
      <c r="M21" s="168" t="s">
        <v>81</v>
      </c>
      <c r="N21" s="171">
        <v>50</v>
      </c>
      <c r="O21" s="68"/>
      <c r="P21" s="68"/>
      <c r="Q21" s="76"/>
    </row>
    <row r="22" spans="2:17" ht="20.100000000000001" customHeight="1">
      <c r="B22" s="3"/>
      <c r="C22" s="19"/>
      <c r="E22" s="162" t="s">
        <v>20</v>
      </c>
      <c r="F22" s="165"/>
      <c r="G22" s="21"/>
      <c r="H22" s="21"/>
      <c r="I22" s="43"/>
      <c r="M22" s="169" t="s">
        <v>82</v>
      </c>
      <c r="N22" s="172" t="s">
        <v>83</v>
      </c>
      <c r="O22" s="70"/>
      <c r="P22" s="70"/>
      <c r="Q22" s="77"/>
    </row>
    <row r="23" spans="2:17" ht="20.100000000000001" customHeight="1">
      <c r="B23" s="17"/>
      <c r="C23" s="20"/>
      <c r="E23" s="162" t="s">
        <v>21</v>
      </c>
      <c r="F23" s="166"/>
      <c r="G23" s="21"/>
      <c r="H23" s="21"/>
      <c r="I23" s="43"/>
      <c r="M23" s="169" t="s">
        <v>84</v>
      </c>
      <c r="N23" s="173">
        <f>SUM(P35:P47)</f>
        <v>0.56498399999999993</v>
      </c>
      <c r="O23" s="68"/>
      <c r="P23" s="68"/>
      <c r="Q23" s="76"/>
    </row>
    <row r="24" spans="2:17" ht="20.100000000000001" customHeight="1" thickBot="1">
      <c r="B24" s="17"/>
      <c r="C24" s="19"/>
      <c r="E24" s="163" t="s">
        <v>85</v>
      </c>
      <c r="F24" s="167" t="s">
        <v>18</v>
      </c>
      <c r="G24" s="21"/>
      <c r="H24" s="21"/>
      <c r="I24" s="43"/>
      <c r="M24" s="169" t="s">
        <v>86</v>
      </c>
      <c r="N24" s="174">
        <f>SUM(O35:O48)</f>
        <v>9</v>
      </c>
      <c r="O24" s="72"/>
      <c r="P24" s="72"/>
      <c r="Q24" s="73"/>
    </row>
    <row r="25" spans="2:17" ht="20.100000000000001" customHeight="1">
      <c r="B25" s="288"/>
      <c r="C25" s="253"/>
      <c r="D25" s="253"/>
      <c r="E25" s="264"/>
      <c r="F25" s="265"/>
      <c r="G25" s="265"/>
      <c r="H25" s="265"/>
      <c r="I25" s="43"/>
      <c r="M25" s="170" t="s">
        <v>1098</v>
      </c>
      <c r="N25" s="175">
        <v>366285</v>
      </c>
      <c r="O25" s="71"/>
      <c r="P25" s="71"/>
      <c r="Q25" s="78"/>
    </row>
    <row r="26" spans="2:17" ht="20.100000000000001" customHeight="1" thickBot="1">
      <c r="B26" s="288"/>
      <c r="C26" s="253"/>
      <c r="D26" s="253"/>
      <c r="E26" s="264"/>
      <c r="F26" s="265"/>
      <c r="G26" s="265"/>
      <c r="H26" s="265"/>
      <c r="I26" s="43"/>
      <c r="M26" s="163" t="s">
        <v>88</v>
      </c>
      <c r="N26" s="176" t="s">
        <v>89</v>
      </c>
      <c r="O26" s="69"/>
      <c r="P26" s="69"/>
      <c r="Q26" s="79"/>
    </row>
    <row r="27" spans="2:17" ht="6" customHeight="1">
      <c r="B27" s="294"/>
      <c r="C27" s="265"/>
      <c r="D27" s="265"/>
      <c r="E27" s="264"/>
      <c r="F27" s="265"/>
      <c r="G27" s="265"/>
      <c r="H27" s="265"/>
      <c r="I27" s="43"/>
      <c r="J27" s="290"/>
      <c r="K27" s="265"/>
      <c r="L27" s="43"/>
      <c r="M27" s="43"/>
      <c r="N27" s="269"/>
      <c r="O27" s="265"/>
      <c r="P27" s="265"/>
      <c r="Q27" s="270"/>
    </row>
    <row r="28" spans="2:17" ht="21.95" customHeight="1">
      <c r="B28" s="262" t="s">
        <v>90</v>
      </c>
      <c r="C28" s="253"/>
      <c r="D28" s="253"/>
      <c r="E28" s="253"/>
      <c r="F28" s="253"/>
      <c r="G28" s="253"/>
      <c r="H28" s="253"/>
      <c r="I28" s="253"/>
      <c r="J28" s="253"/>
      <c r="K28" s="253"/>
      <c r="L28" s="253"/>
      <c r="M28" s="253"/>
      <c r="N28" s="253"/>
      <c r="O28" s="253"/>
      <c r="P28" s="253"/>
      <c r="Q28" s="263"/>
    </row>
    <row r="29" spans="2:17" ht="6" customHeight="1">
      <c r="B29" s="3"/>
      <c r="C29" s="48"/>
      <c r="D29" s="49"/>
      <c r="E29" s="48"/>
      <c r="F29" s="48"/>
      <c r="G29" s="48"/>
      <c r="H29" s="48"/>
      <c r="I29" s="48"/>
      <c r="J29" s="48"/>
      <c r="K29" s="48"/>
      <c r="L29" s="48"/>
      <c r="M29" s="48"/>
      <c r="N29" s="48"/>
      <c r="O29" s="48"/>
      <c r="P29" s="48"/>
      <c r="Q29" s="73"/>
    </row>
    <row r="30" spans="2:17" ht="20.100000000000001" customHeight="1">
      <c r="B30" s="3"/>
      <c r="C30" s="23"/>
      <c r="D30" s="177" t="s">
        <v>23</v>
      </c>
      <c r="E30" s="178"/>
      <c r="F30" s="16"/>
      <c r="G30" s="21"/>
      <c r="H30" s="21"/>
      <c r="I30" s="43"/>
      <c r="K30" s="177" t="s">
        <v>24</v>
      </c>
      <c r="L30" s="179"/>
      <c r="M30" s="80"/>
      <c r="N30" s="43"/>
      <c r="O30" s="43"/>
      <c r="P30" s="43"/>
      <c r="Q30" s="73"/>
    </row>
    <row r="31" spans="2:17" ht="6" customHeight="1">
      <c r="B31" s="4"/>
      <c r="C31" s="24"/>
      <c r="D31" s="50"/>
      <c r="E31" s="51"/>
      <c r="F31" s="51"/>
      <c r="G31" s="51"/>
      <c r="H31" s="51"/>
      <c r="I31" s="43"/>
      <c r="J31" s="52"/>
      <c r="K31" s="52"/>
      <c r="L31" s="53"/>
      <c r="M31" s="53"/>
      <c r="N31" s="53"/>
      <c r="O31" s="53"/>
      <c r="P31" s="53"/>
      <c r="Q31" s="73"/>
    </row>
    <row r="32" spans="2:17" ht="20.100000000000001" customHeight="1">
      <c r="B32" s="3"/>
      <c r="C32" s="19"/>
      <c r="D32" s="180" t="s">
        <v>25</v>
      </c>
      <c r="E32" s="181"/>
      <c r="F32" s="16"/>
      <c r="G32" s="21"/>
      <c r="H32" s="21"/>
      <c r="I32" s="21"/>
      <c r="K32" s="180" t="s">
        <v>94</v>
      </c>
      <c r="L32" s="182"/>
      <c r="M32" s="74"/>
      <c r="N32" s="21"/>
      <c r="O32" s="21"/>
      <c r="P32" s="21"/>
      <c r="Q32" s="73"/>
    </row>
    <row r="33" spans="2:17" ht="6" customHeight="1">
      <c r="B33" s="3"/>
      <c r="C33" s="15"/>
      <c r="D33" s="29"/>
      <c r="E33" s="15"/>
      <c r="F33" s="15"/>
      <c r="G33" s="15"/>
      <c r="H33" s="15"/>
      <c r="I33" s="15"/>
      <c r="J33" s="15"/>
      <c r="K33" s="15"/>
      <c r="L33" s="15"/>
      <c r="M33" s="15"/>
      <c r="N33" s="15"/>
      <c r="O33" s="15"/>
      <c r="P33" s="15"/>
      <c r="Q33" s="73"/>
    </row>
    <row r="34" spans="2:17" ht="21.95" customHeight="1">
      <c r="B34" s="266" t="s">
        <v>41</v>
      </c>
      <c r="C34" s="267"/>
      <c r="D34" s="268"/>
      <c r="E34" s="289" t="s">
        <v>95</v>
      </c>
      <c r="F34" s="267"/>
      <c r="G34" s="267"/>
      <c r="H34" s="267"/>
      <c r="I34" s="267"/>
      <c r="J34" s="267"/>
      <c r="K34" s="267"/>
      <c r="L34" s="268"/>
      <c r="M34" s="189"/>
      <c r="N34" s="189" t="s">
        <v>42</v>
      </c>
      <c r="O34" s="190" t="s">
        <v>96</v>
      </c>
      <c r="P34" s="189" t="s">
        <v>97</v>
      </c>
      <c r="Q34" s="191" t="s">
        <v>98</v>
      </c>
    </row>
    <row r="35" spans="2:17" ht="20.100000000000001" customHeight="1">
      <c r="B35" s="271">
        <v>850038082659</v>
      </c>
      <c r="C35" s="257"/>
      <c r="D35" s="258"/>
      <c r="E35" s="256" t="s">
        <v>553</v>
      </c>
      <c r="F35" s="257"/>
      <c r="G35" s="257"/>
      <c r="H35" s="257"/>
      <c r="I35" s="257"/>
      <c r="J35" s="257"/>
      <c r="K35" s="257"/>
      <c r="L35" s="258"/>
      <c r="M35" s="224"/>
      <c r="N35" s="225">
        <v>200</v>
      </c>
      <c r="O35" s="226">
        <f>IF(B35="","",IF(N35="","",IFERROR(IF(IFERROR(INDEX('Item Database'!$R$2:$R$500,MATCH(VALUE(B35),'Item Database'!$A$2:$A$500,0)),0)=0,"—",CEILING(N35/INDEX('Item Database'!$R$2:$R$500,MATCH(VALUE(B35),'Item Database'!$A$2:$A$500,0)),1)),9)))</f>
        <v>9</v>
      </c>
      <c r="P35" s="226">
        <f>IF(B35="","",IF(O35="","",IF(O35="—","",IFERROR(IF(IFERROR(INDEX('Item Database'!$S$2:$S$500,MATCH(VALUE(B35),'Item Database'!$A$2:$A$500,0)),0)=0,"—",O35*INDEX('Item Database'!$S$2:$S$500,MATCH(VALUE(B35),'Item Database'!$A$2:$A$500,0))),0.564984))))</f>
        <v>0.56498399999999993</v>
      </c>
      <c r="Q35" s="239" t="s">
        <v>47</v>
      </c>
    </row>
    <row r="36" spans="2:17" ht="20.100000000000001" customHeight="1">
      <c r="B36" s="259"/>
      <c r="C36" s="260"/>
      <c r="D36" s="261"/>
      <c r="E36" s="272"/>
      <c r="F36" s="260"/>
      <c r="G36" s="260"/>
      <c r="H36" s="260"/>
      <c r="I36" s="260"/>
      <c r="J36" s="260"/>
      <c r="K36" s="260"/>
      <c r="L36" s="261"/>
      <c r="M36" s="5"/>
      <c r="N36" s="192"/>
      <c r="O36" s="193"/>
      <c r="P36" s="193"/>
      <c r="Q36" s="194"/>
    </row>
    <row r="37" spans="2:17" ht="20.100000000000001" customHeight="1">
      <c r="B37" s="271"/>
      <c r="C37" s="257"/>
      <c r="D37" s="258"/>
      <c r="E37" s="256"/>
      <c r="F37" s="257"/>
      <c r="G37" s="257"/>
      <c r="H37" s="257"/>
      <c r="I37" s="257"/>
      <c r="J37" s="257"/>
      <c r="K37" s="257"/>
      <c r="L37" s="258"/>
      <c r="M37" s="227"/>
      <c r="N37" s="228"/>
      <c r="O37" s="229"/>
      <c r="P37" s="229"/>
      <c r="Q37" s="230"/>
    </row>
    <row r="38" spans="2:17" ht="20.100000000000001" customHeight="1">
      <c r="B38" s="259"/>
      <c r="C38" s="260"/>
      <c r="D38" s="261"/>
      <c r="E38" s="272"/>
      <c r="F38" s="260"/>
      <c r="G38" s="260"/>
      <c r="H38" s="260"/>
      <c r="I38" s="260"/>
      <c r="J38" s="260"/>
      <c r="K38" s="260"/>
      <c r="L38" s="261"/>
      <c r="M38" s="5"/>
      <c r="N38" s="192"/>
      <c r="O38" s="193"/>
      <c r="P38" s="193"/>
      <c r="Q38" s="194"/>
    </row>
    <row r="39" spans="2:17" ht="20.100000000000001" customHeight="1">
      <c r="B39" s="271"/>
      <c r="C39" s="257"/>
      <c r="D39" s="258"/>
      <c r="E39" s="256"/>
      <c r="F39" s="257"/>
      <c r="G39" s="257"/>
      <c r="H39" s="257"/>
      <c r="I39" s="257"/>
      <c r="J39" s="257"/>
      <c r="K39" s="257"/>
      <c r="L39" s="258"/>
      <c r="M39" s="227"/>
      <c r="N39" s="228"/>
      <c r="O39" s="229"/>
      <c r="P39" s="229"/>
      <c r="Q39" s="230"/>
    </row>
    <row r="40" spans="2:17" ht="20.100000000000001" customHeight="1">
      <c r="B40" s="259"/>
      <c r="C40" s="260"/>
      <c r="D40" s="261"/>
      <c r="E40" s="272"/>
      <c r="F40" s="260"/>
      <c r="G40" s="260"/>
      <c r="H40" s="260"/>
      <c r="I40" s="260"/>
      <c r="J40" s="260"/>
      <c r="K40" s="260"/>
      <c r="L40" s="261"/>
      <c r="M40" s="5"/>
      <c r="N40" s="192"/>
      <c r="O40" s="193"/>
      <c r="P40" s="193"/>
      <c r="Q40" s="194"/>
    </row>
    <row r="41" spans="2:17" ht="20.100000000000001" customHeight="1">
      <c r="B41" s="271"/>
      <c r="C41" s="257"/>
      <c r="D41" s="258"/>
      <c r="E41" s="256"/>
      <c r="F41" s="257"/>
      <c r="G41" s="257"/>
      <c r="H41" s="257"/>
      <c r="I41" s="257"/>
      <c r="J41" s="257"/>
      <c r="K41" s="257"/>
      <c r="L41" s="258"/>
      <c r="M41" s="227"/>
      <c r="N41" s="228"/>
      <c r="O41" s="229"/>
      <c r="P41" s="229"/>
      <c r="Q41" s="230"/>
    </row>
    <row r="42" spans="2:17" ht="20.100000000000001" customHeight="1">
      <c r="B42" s="259"/>
      <c r="C42" s="260"/>
      <c r="D42" s="261"/>
      <c r="E42" s="272"/>
      <c r="F42" s="260"/>
      <c r="G42" s="260"/>
      <c r="H42" s="260"/>
      <c r="I42" s="260"/>
      <c r="J42" s="260"/>
      <c r="K42" s="260"/>
      <c r="L42" s="261"/>
      <c r="M42" s="5"/>
      <c r="N42" s="192"/>
      <c r="O42" s="193"/>
      <c r="P42" s="193"/>
      <c r="Q42" s="195"/>
    </row>
    <row r="43" spans="2:17" ht="20.100000000000001" customHeight="1">
      <c r="B43" s="271"/>
      <c r="C43" s="257"/>
      <c r="D43" s="258"/>
      <c r="E43" s="256"/>
      <c r="F43" s="257"/>
      <c r="G43" s="257"/>
      <c r="H43" s="257"/>
      <c r="I43" s="257"/>
      <c r="J43" s="257"/>
      <c r="K43" s="257"/>
      <c r="L43" s="258"/>
      <c r="M43" s="227"/>
      <c r="N43" s="228"/>
      <c r="O43" s="229"/>
      <c r="P43" s="229"/>
      <c r="Q43" s="231"/>
    </row>
    <row r="44" spans="2:17" ht="20.100000000000001" customHeight="1">
      <c r="B44" s="259"/>
      <c r="C44" s="260"/>
      <c r="D44" s="261"/>
      <c r="E44" s="272"/>
      <c r="F44" s="260"/>
      <c r="G44" s="260"/>
      <c r="H44" s="260"/>
      <c r="I44" s="260"/>
      <c r="J44" s="260"/>
      <c r="K44" s="260"/>
      <c r="L44" s="261"/>
      <c r="M44" s="5"/>
      <c r="N44" s="235"/>
      <c r="O44" s="193"/>
      <c r="P44" s="196"/>
      <c r="Q44" s="195"/>
    </row>
    <row r="45" spans="2:17" ht="20.100000000000001" customHeight="1">
      <c r="B45" s="271"/>
      <c r="C45" s="257"/>
      <c r="D45" s="258"/>
      <c r="E45" s="256"/>
      <c r="F45" s="257"/>
      <c r="G45" s="257"/>
      <c r="H45" s="257"/>
      <c r="I45" s="257"/>
      <c r="J45" s="257"/>
      <c r="K45" s="257"/>
      <c r="L45" s="258"/>
      <c r="M45" s="227"/>
      <c r="N45" s="236"/>
      <c r="O45" s="229"/>
      <c r="P45" s="232"/>
      <c r="Q45" s="231"/>
    </row>
    <row r="46" spans="2:17" ht="20.100000000000001" customHeight="1">
      <c r="B46" s="259"/>
      <c r="C46" s="260"/>
      <c r="D46" s="261"/>
      <c r="E46" s="272"/>
      <c r="F46" s="260"/>
      <c r="G46" s="260"/>
      <c r="H46" s="260"/>
      <c r="I46" s="260"/>
      <c r="J46" s="260"/>
      <c r="K46" s="260"/>
      <c r="L46" s="261"/>
      <c r="M46" s="5"/>
      <c r="N46" s="235"/>
      <c r="O46" s="193"/>
      <c r="P46" s="196"/>
      <c r="Q46" s="195"/>
    </row>
    <row r="47" spans="2:17" ht="20.100000000000001" customHeight="1">
      <c r="B47" s="271"/>
      <c r="C47" s="257"/>
      <c r="D47" s="258"/>
      <c r="E47" s="285"/>
      <c r="F47" s="286"/>
      <c r="G47" s="286"/>
      <c r="H47" s="286"/>
      <c r="I47" s="286"/>
      <c r="J47" s="286"/>
      <c r="K47" s="286"/>
      <c r="L47" s="287"/>
      <c r="M47" s="227"/>
      <c r="N47" s="237"/>
      <c r="O47" s="229"/>
      <c r="P47" s="232"/>
      <c r="Q47" s="233"/>
    </row>
    <row r="48" spans="2:17" ht="20.100000000000001" customHeight="1">
      <c r="B48" s="259"/>
      <c r="C48" s="260"/>
      <c r="D48" s="261"/>
      <c r="E48" s="272"/>
      <c r="F48" s="260"/>
      <c r="G48" s="260"/>
      <c r="H48" s="260"/>
      <c r="I48" s="260"/>
      <c r="J48" s="260"/>
      <c r="K48" s="260"/>
      <c r="L48" s="261"/>
      <c r="M48" s="234"/>
      <c r="N48" s="238"/>
      <c r="O48" s="238"/>
      <c r="P48" s="238"/>
      <c r="Q48" s="240"/>
    </row>
    <row r="49" spans="2:17" ht="21.95" customHeight="1">
      <c r="B49" s="249"/>
      <c r="C49" s="250"/>
      <c r="D49" s="250"/>
      <c r="E49" s="250"/>
      <c r="F49" s="250"/>
      <c r="G49" s="250"/>
      <c r="H49" s="250"/>
      <c r="I49" s="250"/>
      <c r="J49" s="251"/>
      <c r="K49" s="22"/>
      <c r="L49" s="197" t="s">
        <v>110</v>
      </c>
      <c r="M49" s="197"/>
      <c r="N49" s="198">
        <f>SUM(N35:N48)</f>
        <v>200</v>
      </c>
      <c r="O49" s="198">
        <f>SUM(O35:O48)</f>
        <v>9</v>
      </c>
      <c r="P49" s="199">
        <f>SUM(P35:P48)</f>
        <v>0.56498399999999993</v>
      </c>
      <c r="Q49" s="200">
        <v>0</v>
      </c>
    </row>
    <row r="50" spans="2:17" ht="20.100000000000001" customHeight="1">
      <c r="B50" s="274" t="s">
        <v>111</v>
      </c>
      <c r="C50" s="253"/>
      <c r="D50" s="253"/>
      <c r="E50" s="253"/>
      <c r="F50" s="253"/>
      <c r="G50" s="253"/>
      <c r="H50" s="253"/>
      <c r="I50" s="253"/>
      <c r="J50" s="254"/>
      <c r="K50" s="54"/>
      <c r="L50" s="197" t="s">
        <v>112</v>
      </c>
      <c r="M50" s="197"/>
      <c r="N50" s="201"/>
      <c r="O50" s="202"/>
      <c r="P50" s="203"/>
      <c r="Q50" s="204"/>
    </row>
    <row r="51" spans="2:17" ht="18" customHeight="1">
      <c r="B51" s="252"/>
      <c r="C51" s="253"/>
      <c r="D51" s="253"/>
      <c r="E51" s="253"/>
      <c r="F51" s="253"/>
      <c r="G51" s="253"/>
      <c r="H51" s="253"/>
      <c r="I51" s="253"/>
      <c r="J51" s="254"/>
      <c r="K51" s="54"/>
      <c r="L51" s="197" t="s">
        <v>113</v>
      </c>
      <c r="M51" s="197"/>
      <c r="N51" s="201"/>
      <c r="O51" s="202"/>
      <c r="P51" s="203"/>
      <c r="Q51" s="205">
        <v>0</v>
      </c>
    </row>
    <row r="52" spans="2:17" ht="18" customHeight="1">
      <c r="B52" s="295"/>
      <c r="C52" s="265"/>
      <c r="D52" s="265"/>
      <c r="E52" s="265"/>
      <c r="F52" s="265"/>
      <c r="G52" s="265"/>
      <c r="H52" s="265"/>
      <c r="I52" s="265"/>
      <c r="J52" s="296"/>
      <c r="K52" s="36"/>
      <c r="L52" s="206"/>
      <c r="M52" s="207"/>
      <c r="N52" s="208"/>
      <c r="O52" s="209"/>
      <c r="P52" s="209"/>
      <c r="Q52" s="210"/>
    </row>
    <row r="53" spans="2:17" ht="18" customHeight="1">
      <c r="B53" s="252"/>
      <c r="C53" s="253"/>
      <c r="D53" s="253"/>
      <c r="E53" s="253"/>
      <c r="F53" s="253"/>
      <c r="G53" s="253"/>
      <c r="H53" s="253"/>
      <c r="I53" s="253"/>
      <c r="J53" s="254"/>
      <c r="K53" s="36"/>
      <c r="L53" s="206"/>
      <c r="M53" s="207"/>
      <c r="N53" s="208"/>
      <c r="O53" s="209"/>
      <c r="P53" s="209"/>
      <c r="Q53" s="210"/>
    </row>
    <row r="54" spans="2:17" ht="18" customHeight="1">
      <c r="B54" s="252"/>
      <c r="C54" s="253"/>
      <c r="D54" s="253"/>
      <c r="E54" s="253"/>
      <c r="F54" s="253"/>
      <c r="G54" s="253"/>
      <c r="H54" s="253"/>
      <c r="I54" s="253"/>
      <c r="J54" s="254"/>
      <c r="K54" s="36"/>
      <c r="L54" s="206"/>
      <c r="M54" s="207"/>
      <c r="N54" s="208"/>
      <c r="O54" s="209"/>
      <c r="P54" s="209"/>
      <c r="Q54" s="210"/>
    </row>
    <row r="55" spans="2:17" ht="18" customHeight="1">
      <c r="B55" s="252"/>
      <c r="C55" s="253"/>
      <c r="D55" s="253"/>
      <c r="E55" s="253"/>
      <c r="F55" s="253"/>
      <c r="G55" s="253"/>
      <c r="H55" s="253"/>
      <c r="I55" s="253"/>
      <c r="J55" s="254"/>
      <c r="K55" s="36"/>
      <c r="L55" s="206"/>
      <c r="M55" s="207"/>
      <c r="N55" s="208"/>
      <c r="O55" s="209"/>
      <c r="P55" s="209"/>
      <c r="Q55" s="210"/>
    </row>
    <row r="56" spans="2:17" ht="18" customHeight="1">
      <c r="B56" s="252"/>
      <c r="C56" s="253"/>
      <c r="D56" s="253"/>
      <c r="E56" s="253"/>
      <c r="F56" s="253"/>
      <c r="G56" s="253"/>
      <c r="H56" s="253"/>
      <c r="I56" s="253"/>
      <c r="J56" s="254"/>
      <c r="K56" s="36"/>
      <c r="L56" s="206"/>
      <c r="M56" s="207"/>
      <c r="N56" s="208"/>
      <c r="O56" s="209"/>
      <c r="P56" s="209"/>
      <c r="Q56" s="210"/>
    </row>
    <row r="57" spans="2:17" ht="18" customHeight="1">
      <c r="B57" s="252"/>
      <c r="C57" s="253"/>
      <c r="D57" s="253"/>
      <c r="E57" s="253"/>
      <c r="F57" s="253"/>
      <c r="G57" s="253"/>
      <c r="H57" s="253"/>
      <c r="I57" s="253"/>
      <c r="J57" s="254"/>
      <c r="K57" s="36"/>
      <c r="L57" s="206"/>
      <c r="M57" s="207"/>
      <c r="N57" s="208"/>
      <c r="O57" s="209"/>
      <c r="P57" s="209"/>
      <c r="Q57" s="210"/>
    </row>
    <row r="58" spans="2:17" ht="21.95" customHeight="1">
      <c r="B58" s="276"/>
      <c r="C58" s="277"/>
      <c r="D58" s="277"/>
      <c r="E58" s="277"/>
      <c r="F58" s="277"/>
      <c r="G58" s="277"/>
      <c r="H58" s="277"/>
      <c r="I58" s="277"/>
      <c r="J58" s="278"/>
      <c r="K58" s="36"/>
      <c r="L58" s="211" t="s">
        <v>115</v>
      </c>
      <c r="M58" s="211"/>
      <c r="N58" s="212"/>
      <c r="O58" s="213"/>
      <c r="P58" s="213" t="s">
        <v>116</v>
      </c>
      <c r="Q58" s="214">
        <v>0</v>
      </c>
    </row>
    <row r="59" spans="2:17" ht="8.1" customHeight="1">
      <c r="B59" s="6"/>
      <c r="C59" s="36"/>
      <c r="D59" s="55"/>
      <c r="E59" s="36"/>
      <c r="F59" s="36"/>
      <c r="G59" s="36"/>
      <c r="H59" s="36"/>
      <c r="I59" s="36"/>
      <c r="J59" s="36"/>
      <c r="K59" s="36"/>
      <c r="L59" s="36"/>
      <c r="M59" s="36"/>
      <c r="N59" s="15"/>
      <c r="O59" s="15"/>
      <c r="P59" s="15"/>
      <c r="Q59" s="2"/>
    </row>
    <row r="60" spans="2:17" ht="18" customHeight="1">
      <c r="B60" s="292" t="s">
        <v>117</v>
      </c>
      <c r="C60" s="265"/>
      <c r="D60" s="265"/>
      <c r="E60" s="265"/>
      <c r="F60" s="265"/>
      <c r="G60" s="265"/>
      <c r="H60" s="265"/>
      <c r="I60" s="265"/>
      <c r="J60" s="265"/>
      <c r="K60" s="265"/>
      <c r="L60" s="265"/>
      <c r="M60" s="265"/>
      <c r="N60" s="265"/>
      <c r="O60" s="265"/>
      <c r="P60" s="265"/>
      <c r="Q60" s="270"/>
    </row>
    <row r="61" spans="2:17" ht="9.9499999999999993" customHeight="1">
      <c r="B61" s="293"/>
      <c r="C61" s="265"/>
      <c r="D61" s="265"/>
      <c r="E61" s="265"/>
      <c r="F61" s="265"/>
      <c r="G61" s="265"/>
      <c r="H61" s="265"/>
      <c r="I61" s="265"/>
      <c r="J61" s="265"/>
      <c r="K61" s="265"/>
      <c r="L61" s="265"/>
      <c r="M61" s="265"/>
      <c r="N61" s="265"/>
      <c r="O61" s="15"/>
      <c r="P61" s="15"/>
      <c r="Q61" s="2"/>
    </row>
    <row r="62" spans="2:17" ht="18" customHeight="1">
      <c r="B62" s="279" t="s">
        <v>118</v>
      </c>
      <c r="C62" s="280"/>
      <c r="D62" s="280"/>
      <c r="E62" s="280"/>
      <c r="F62" s="280"/>
      <c r="G62" s="281"/>
      <c r="H62" s="56"/>
      <c r="I62" s="56"/>
      <c r="J62" s="15"/>
      <c r="K62" s="15"/>
      <c r="L62" s="15"/>
      <c r="M62" s="15"/>
      <c r="N62" s="7"/>
      <c r="O62" s="7"/>
      <c r="P62" s="7"/>
      <c r="Q62" s="57"/>
    </row>
    <row r="63" spans="2:17" ht="9.9499999999999993" customHeight="1">
      <c r="B63" s="282"/>
      <c r="C63" s="283"/>
      <c r="D63" s="283"/>
      <c r="E63" s="283"/>
      <c r="F63" s="283"/>
      <c r="G63" s="284"/>
      <c r="H63" s="15"/>
      <c r="I63" s="15"/>
      <c r="J63" s="15"/>
      <c r="K63" s="15"/>
      <c r="L63" s="15"/>
      <c r="M63" s="15"/>
      <c r="N63" s="8"/>
      <c r="O63" s="8"/>
      <c r="P63" s="8"/>
      <c r="Q63" s="58"/>
    </row>
    <row r="64" spans="2:17" ht="9.9499999999999993" customHeight="1">
      <c r="B64" s="9"/>
      <c r="C64" s="59"/>
      <c r="D64" s="60"/>
      <c r="E64" s="59"/>
      <c r="F64" s="59"/>
      <c r="G64" s="59"/>
      <c r="H64" s="15"/>
      <c r="I64" s="15"/>
      <c r="J64" s="59"/>
      <c r="K64" s="59"/>
      <c r="L64" s="59"/>
      <c r="M64" s="59"/>
      <c r="N64" s="59"/>
      <c r="O64" s="15"/>
      <c r="P64" s="15"/>
      <c r="Q64" s="2"/>
    </row>
    <row r="65" spans="2:17" ht="15.95" customHeight="1">
      <c r="B65" s="275" t="s">
        <v>119</v>
      </c>
      <c r="C65" s="265"/>
      <c r="D65" s="265"/>
      <c r="E65" s="265"/>
      <c r="F65" s="265"/>
      <c r="G65" s="265"/>
      <c r="H65" s="265"/>
      <c r="I65" s="265"/>
      <c r="J65" s="265"/>
      <c r="K65" s="265"/>
      <c r="L65" s="265"/>
      <c r="M65" s="265"/>
      <c r="N65" s="265"/>
      <c r="O65" s="265"/>
      <c r="P65" s="265"/>
      <c r="Q65" s="270"/>
    </row>
    <row r="66" spans="2:17" ht="15.95" customHeight="1">
      <c r="B66" s="273" t="s">
        <v>120</v>
      </c>
      <c r="C66" s="265"/>
      <c r="D66" s="265"/>
      <c r="E66" s="265"/>
      <c r="F66" s="265"/>
      <c r="G66" s="265"/>
      <c r="H66" s="265"/>
      <c r="I66" s="265"/>
      <c r="J66" s="265"/>
      <c r="K66" s="265"/>
      <c r="L66" s="265"/>
      <c r="M66" s="265"/>
      <c r="N66" s="265"/>
      <c r="O66" s="265"/>
      <c r="P66" s="265"/>
      <c r="Q66" s="270"/>
    </row>
    <row r="67" spans="2:17" ht="15.95" customHeight="1">
      <c r="B67" s="273" t="s">
        <v>121</v>
      </c>
      <c r="C67" s="265"/>
      <c r="D67" s="265"/>
      <c r="E67" s="265"/>
      <c r="F67" s="265"/>
      <c r="G67" s="265"/>
      <c r="H67" s="265"/>
      <c r="I67" s="265"/>
      <c r="J67" s="265"/>
      <c r="K67" s="265"/>
      <c r="L67" s="265"/>
      <c r="M67" s="265"/>
      <c r="N67" s="265"/>
      <c r="O67" s="265"/>
      <c r="P67" s="265"/>
      <c r="Q67" s="270"/>
    </row>
    <row r="68" spans="2:17" ht="15.75" customHeight="1" thickBot="1">
      <c r="B68" s="10"/>
      <c r="C68" s="11"/>
      <c r="D68" s="12"/>
      <c r="E68" s="11"/>
      <c r="F68" s="11"/>
      <c r="G68" s="11"/>
      <c r="H68" s="11"/>
      <c r="I68" s="11"/>
      <c r="J68" s="11"/>
      <c r="K68" s="11"/>
      <c r="L68" s="11"/>
      <c r="M68" s="11"/>
      <c r="N68" s="11"/>
      <c r="O68" s="11"/>
      <c r="P68" s="11"/>
      <c r="Q68" s="13"/>
    </row>
  </sheetData>
  <mergeCells count="59">
    <mergeCell ref="N27:Q27"/>
    <mergeCell ref="B4:F4"/>
    <mergeCell ref="B9:F9"/>
    <mergeCell ref="B12:F12"/>
    <mergeCell ref="B19:Q19"/>
    <mergeCell ref="B25:D25"/>
    <mergeCell ref="E25:H25"/>
    <mergeCell ref="B36:D36"/>
    <mergeCell ref="E36:L36"/>
    <mergeCell ref="B26:D26"/>
    <mergeCell ref="E26:H26"/>
    <mergeCell ref="B27:D27"/>
    <mergeCell ref="E27:H27"/>
    <mergeCell ref="J27:K27"/>
    <mergeCell ref="B28:Q28"/>
    <mergeCell ref="B34:D34"/>
    <mergeCell ref="E34:L34"/>
    <mergeCell ref="B35:D35"/>
    <mergeCell ref="E35:L35"/>
    <mergeCell ref="B37:D37"/>
    <mergeCell ref="E37:L37"/>
    <mergeCell ref="B38:D38"/>
    <mergeCell ref="E38:L38"/>
    <mergeCell ref="B39:D39"/>
    <mergeCell ref="E39:L39"/>
    <mergeCell ref="B40:D40"/>
    <mergeCell ref="E40:L40"/>
    <mergeCell ref="B41:D41"/>
    <mergeCell ref="E41:L41"/>
    <mergeCell ref="B42:D42"/>
    <mergeCell ref="E42:L42"/>
    <mergeCell ref="B43:D43"/>
    <mergeCell ref="E43:L43"/>
    <mergeCell ref="B44:D44"/>
    <mergeCell ref="E44:L44"/>
    <mergeCell ref="B45:D45"/>
    <mergeCell ref="E45:L45"/>
    <mergeCell ref="B54:J54"/>
    <mergeCell ref="B46:D46"/>
    <mergeCell ref="E46:L46"/>
    <mergeCell ref="B47:D47"/>
    <mergeCell ref="E47:L47"/>
    <mergeCell ref="B48:D48"/>
    <mergeCell ref="E48:L48"/>
    <mergeCell ref="B49:J49"/>
    <mergeCell ref="B50:J50"/>
    <mergeCell ref="B51:J51"/>
    <mergeCell ref="B52:J52"/>
    <mergeCell ref="B53:J53"/>
    <mergeCell ref="B62:G63"/>
    <mergeCell ref="B65:Q65"/>
    <mergeCell ref="B66:Q66"/>
    <mergeCell ref="B67:Q67"/>
    <mergeCell ref="B55:J55"/>
    <mergeCell ref="B56:J56"/>
    <mergeCell ref="B57:J57"/>
    <mergeCell ref="B58:J58"/>
    <mergeCell ref="B60:Q60"/>
    <mergeCell ref="B61:N61"/>
  </mergeCells>
  <dataValidations count="8">
    <dataValidation type="list" allowBlank="1" showInputMessage="1" showErrorMessage="1" promptTitle="Inco Terms" prompt="Select Incoterms for this shipment" sqref="N22" xr:uid="{7A7F11D7-02F9-4C8F-A64C-7D9392CC711F}">
      <formula1>"DDP IncoTerms 2020,FOB Ningbo,CIF Los Angeles,EXW Factory,CFR Los Angeles,DAP IncoTerms 2020"</formula1>
    </dataValidation>
    <dataValidation type="list" allowBlank="1" showInputMessage="1" showErrorMessage="1" promptTitle="Currency" prompt="Select order currency" sqref="N26" xr:uid="{F27D26AC-6799-4AD1-9E4F-C920FE827183}">
      <formula1>"USD,EUR,GBP,CNY,RMB"</formula1>
    </dataValidation>
    <dataValidation type="whole" operator="greaterThanOrEqual" allowBlank="1" showInputMessage="1" showErrorMessage="1" errorTitle="Invalid Lead Time" error="Please enter a whole number of days (≥ 1)." promptTitle="Lead Time (Days)" prompt="Enter the manufacturing/shipping lead time in days" sqref="N21" xr:uid="{D5046F9A-0AE4-4E2B-B2A1-DCFB5E273D32}">
      <formula1>1</formula1>
    </dataValidation>
    <dataValidation type="list" allowBlank="1" showInputMessage="1" showErrorMessage="1" promptTitle="Payment Terms" prompt="Select payment terms for this order" sqref="F23" xr:uid="{6842AD6D-A6B5-4EF0-A7BE-9E154B0ACDD6}">
      <formula1>"Net 30,Net 60,Net 90,50/50 Before Shipment,30/70 Before Shipment,100% Before Shipment,LC at Sight,TT in Advance"</formula1>
    </dataValidation>
    <dataValidation type="list" allowBlank="1" showInputMessage="1" showErrorMessage="1" promptTitle="Transport Mode" prompt="Select mode of transportation" sqref="F24" xr:uid="{EAF88899-A7A4-4E78-B833-4EBFF99A1E72}">
      <formula1>"Container,LCL,Air Freight,Express Courier,Sea + Air"</formula1>
    </dataValidation>
    <dataValidation type="date" operator="greaterThanOrEqual" allowBlank="1" showInputMessage="1" showErrorMessage="1" errorTitle="Invalid Date" error="Please enter a valid date on or after January 1, 2024." promptTitle="📅 Requested Ship Date" prompt="Enter a date (e.g. 7/15/2025). Must be 2024 or later." sqref="F21" xr:uid="{3830A0B2-7529-49F1-83D8-86CE32E5B956}">
      <formula1>45292</formula1>
    </dataValidation>
    <dataValidation type="whole" operator="greaterThanOrEqual" allowBlank="1" showInputMessage="1" showErrorMessage="1" errorTitle="Invalid Quantity" error="Whole number ≥ 1." sqref="N35:N47" xr:uid="{8B20474C-12DC-4634-8EF8-B0FDD2B6BE73}">
      <formula1>1</formula1>
    </dataValidation>
    <dataValidation type="list" errorStyle="warning" allowBlank="1" showInputMessage="1" showErrorMessage="1" errorTitle="Unknown Destination" error="Not in list. Continue?" sqref="Q35:Q47" xr:uid="{17566D92-2FD6-4507-8550-53FDC6690A92}">
      <formula1>"AM-MTB,AM-SS,AMZN-SS,BERLINSS,CHRATLSS,COSM-MT,ECHODAMT,ECHODASS,HG-SS,Huini-SS,IBR-MTB,MT-IT-AW,NINGBOMT,NINGBOSS,OFFICEMT,OFFICESS,OXYGENSS,SBGA-MT,SBGA-SS,SCBOXSS"</formula1>
    </dataValidation>
  </dataValidations>
  <printOptions horizontalCentered="1"/>
  <pageMargins left="0.25" right="0.25" top="0.25" bottom="0.25" header="0.125" footer="0.125"/>
  <pageSetup scale="49" orientation="landscape"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PPO Template</vt:lpstr>
      <vt:lpstr>SETUP INSTRUCTIONS</vt:lpstr>
      <vt:lpstr>PPO Generator</vt:lpstr>
      <vt:lpstr>PPO Log</vt:lpstr>
      <vt:lpstr>Item Database</vt:lpstr>
      <vt:lpstr>Seller-Exporter</vt:lpstr>
      <vt:lpstr>Bill To</vt:lpstr>
      <vt:lpstr>PPO-3147</vt:lpstr>
      <vt:lpstr>PPO-3148</vt:lpstr>
      <vt:lpstr>'PPO Template'!Print_Area</vt:lpstr>
      <vt:lpstr>'PPO-3147'!Print_Area</vt:lpstr>
      <vt:lpstr>'PPO-3148'!Print_Area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Sapia</dc:creator>
  <cp:lastModifiedBy>Tom Sapia</cp:lastModifiedBy>
  <cp:lastPrinted>2026-04-03T12:39:21Z</cp:lastPrinted>
  <dcterms:created xsi:type="dcterms:W3CDTF">2026-04-01T12:12:05Z</dcterms:created>
  <dcterms:modified xsi:type="dcterms:W3CDTF">2026-04-03T20:42:50Z</dcterms:modified>
</cp:coreProperties>
</file>